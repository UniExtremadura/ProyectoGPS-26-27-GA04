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326" documentId="11_9248B46DC1CBB2E3ED7FF6F9903E8C1851038383" xr6:coauthVersionLast="47" xr6:coauthVersionMax="47" xr10:uidLastSave="{8D89CC99-5F12-417A-B579-155B29FC1D0B}"/>
  <bookViews>
    <workbookView xWindow="240" yWindow="105" windowWidth="14805" windowHeight="8010" firstSheet="2" activeTab="1" xr2:uid="{00000000-000D-0000-FFFF-FFFF00000000}"/>
  </bookViews>
  <sheets>
    <sheet name="Capacidad del equipo" sheetId="1" r:id="rId1"/>
    <sheet name="Product Backlog" sheetId="2" r:id="rId2"/>
    <sheet name="Carga y Capacidad" sheetId="3" r:id="rId3"/>
    <sheet name="Coste" sheetId="4" r:id="rId4"/>
    <sheet name="Viabilidad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" i="5" l="1"/>
  <c r="C10" i="5"/>
  <c r="C9" i="5"/>
  <c r="C15" i="5"/>
  <c r="C14" i="5"/>
  <c r="C13" i="5"/>
  <c r="C12" i="5"/>
  <c r="C8" i="5"/>
  <c r="C6" i="5"/>
  <c r="J8" i="3"/>
  <c r="J9" i="3"/>
  <c r="J10" i="3"/>
  <c r="J11" i="3"/>
  <c r="J12" i="3"/>
  <c r="J7" i="3"/>
  <c r="I8" i="3"/>
  <c r="I9" i="3"/>
  <c r="I10" i="3"/>
  <c r="I11" i="3"/>
  <c r="I12" i="3"/>
  <c r="I7" i="3"/>
  <c r="H13" i="3"/>
  <c r="G13" i="3"/>
  <c r="F13" i="3"/>
  <c r="E13" i="3"/>
  <c r="D13" i="3"/>
  <c r="C7" i="3"/>
  <c r="B7" i="4" a="1"/>
  <c r="B7" i="4"/>
  <c r="B7" i="3"/>
  <c r="H8" i="3"/>
  <c r="H9" i="3"/>
  <c r="H10" i="3"/>
  <c r="H11" i="3"/>
  <c r="H12" i="3"/>
  <c r="G8" i="3"/>
  <c r="G9" i="3"/>
  <c r="G10" i="3"/>
  <c r="G11" i="3"/>
  <c r="G12" i="3"/>
  <c r="F8" i="3"/>
  <c r="F9" i="3"/>
  <c r="F10" i="3"/>
  <c r="F11" i="3"/>
  <c r="F12" i="3"/>
  <c r="H7" i="3"/>
  <c r="G7" i="3"/>
  <c r="F7" i="3"/>
  <c r="E8" i="3"/>
  <c r="E9" i="3"/>
  <c r="E10" i="3"/>
  <c r="E11" i="3"/>
  <c r="E12" i="3"/>
  <c r="E7" i="3"/>
  <c r="D8" i="3"/>
  <c r="D9" i="3"/>
  <c r="D10" i="3"/>
  <c r="D11" i="3"/>
  <c r="D12" i="3"/>
  <c r="D7" i="3"/>
  <c r="C8" i="3"/>
  <c r="C9" i="3"/>
  <c r="C10" i="3"/>
  <c r="C11" i="3"/>
  <c r="C12" i="3"/>
  <c r="B8" i="3"/>
  <c r="B9" i="3"/>
  <c r="B10" i="3"/>
  <c r="B11" i="3"/>
  <c r="B12" i="3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8" i="4"/>
  <c r="F8" i="4" s="1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8" i="4"/>
  <c r="C45" i="4"/>
  <c r="C46" i="4"/>
  <c r="C47" i="4"/>
  <c r="C48" i="4"/>
  <c r="C49" i="4"/>
  <c r="C44" i="4"/>
  <c r="C50" i="4"/>
  <c r="D37" i="4"/>
  <c r="D36" i="4"/>
  <c r="D35" i="4"/>
  <c r="D34" i="4"/>
  <c r="D33" i="4"/>
  <c r="D32" i="4"/>
  <c r="C36" i="4"/>
  <c r="E36" i="4" s="1"/>
  <c r="C35" i="4"/>
  <c r="E35" i="4" s="1"/>
  <c r="C34" i="4"/>
  <c r="E34" i="4" s="1"/>
  <c r="C33" i="4"/>
  <c r="E33" i="4" s="1"/>
  <c r="C32" i="4"/>
  <c r="F9" i="4"/>
  <c r="F10" i="4"/>
  <c r="F11" i="4"/>
  <c r="F12" i="4"/>
  <c r="F13" i="4"/>
  <c r="D46" i="4" s="1"/>
  <c r="F14" i="4"/>
  <c r="F15" i="4"/>
  <c r="F16" i="4"/>
  <c r="F17" i="4"/>
  <c r="F18" i="4"/>
  <c r="D48" i="4" s="1"/>
  <c r="F19" i="4"/>
  <c r="F20" i="4"/>
  <c r="F21" i="4"/>
  <c r="D49" i="4" s="1"/>
  <c r="F22" i="4"/>
  <c r="F23" i="4"/>
  <c r="F24" i="4"/>
  <c r="F25" i="4"/>
  <c r="H9" i="1"/>
  <c r="C26" i="1"/>
  <c r="C9" i="1"/>
  <c r="D9" i="1"/>
  <c r="E9" i="1"/>
  <c r="F9" i="1"/>
  <c r="G9" i="1"/>
  <c r="C15" i="1"/>
  <c r="H5" i="1"/>
  <c r="H6" i="1"/>
  <c r="H7" i="1"/>
  <c r="H8" i="1"/>
  <c r="G8" i="1"/>
  <c r="G7" i="1"/>
  <c r="G6" i="1"/>
  <c r="G5" i="1"/>
  <c r="G4" i="1"/>
  <c r="H4" i="1" s="1"/>
  <c r="C37" i="4" l="1"/>
  <c r="E32" i="4"/>
  <c r="E37" i="4" s="1"/>
  <c r="D47" i="4"/>
  <c r="D45" i="4"/>
  <c r="D44" i="4"/>
  <c r="D50" i="4" s="1"/>
  <c r="F27" i="4"/>
  <c r="F26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<sst xmlns="http://schemas.openxmlformats.org/spreadsheetml/2006/main" count="208" uniqueCount="131">
  <si>
    <r>
      <t>Miembro (Rol)</t>
    </r>
    <r>
      <rPr>
        <sz val="12"/>
        <rFont val="Aptos"/>
        <charset val="1"/>
      </rPr>
      <t> </t>
    </r>
  </si>
  <si>
    <r>
      <t>Capacidad Nominal</t>
    </r>
    <r>
      <rPr>
        <sz val="12"/>
        <rFont val="Aptos"/>
        <charset val="1"/>
      </rPr>
      <t> </t>
    </r>
  </si>
  <si>
    <r>
      <t>Ceremonias Scrum</t>
    </r>
    <r>
      <rPr>
        <sz val="12"/>
        <rFont val="Aptos"/>
        <charset val="1"/>
      </rPr>
      <t> </t>
    </r>
  </si>
  <si>
    <r>
      <t>Gestión y Coordinación (Rol)</t>
    </r>
    <r>
      <rPr>
        <sz val="12"/>
        <rFont val="Aptos"/>
        <charset val="1"/>
      </rPr>
      <t> </t>
    </r>
  </si>
  <si>
    <r>
      <t>Imprevistos / Margen</t>
    </r>
    <r>
      <rPr>
        <sz val="12"/>
        <rFont val="Aptos"/>
        <charset val="1"/>
      </rPr>
      <t> </t>
    </r>
  </si>
  <si>
    <r>
      <t>Capacidad Efectiva (h-p)</t>
    </r>
    <r>
      <rPr>
        <sz val="12"/>
        <rFont val="Aptos"/>
        <charset val="1"/>
      </rPr>
      <t> </t>
    </r>
  </si>
  <si>
    <r>
      <t>Factor de enfoque real</t>
    </r>
    <r>
      <rPr>
        <sz val="12"/>
        <rFont val="Aptos"/>
        <charset val="1"/>
      </rPr>
      <t> </t>
    </r>
  </si>
  <si>
    <r>
      <t>Jorge Acedo</t>
    </r>
    <r>
      <rPr>
        <sz val="12"/>
        <rFont val="Aptos"/>
        <charset val="1"/>
      </rPr>
      <t xml:space="preserve"> (PO) </t>
    </r>
  </si>
  <si>
    <r>
      <t>Sergio Jiménez</t>
    </r>
    <r>
      <rPr>
        <sz val="12"/>
        <rFont val="Aptos"/>
        <charset val="1"/>
      </rPr>
      <t xml:space="preserve"> (SM) </t>
    </r>
  </si>
  <si>
    <r>
      <t>Alfonso Canal</t>
    </r>
    <r>
      <rPr>
        <sz val="12"/>
        <rFont val="Aptos"/>
        <charset val="1"/>
      </rPr>
      <t xml:space="preserve"> (TL) </t>
    </r>
  </si>
  <si>
    <r>
      <t>Elena Cancho</t>
    </r>
    <r>
      <rPr>
        <sz val="12"/>
        <rFont val="Aptos"/>
        <charset val="1"/>
      </rPr>
      <t xml:space="preserve"> (QA/DevOps) </t>
    </r>
  </si>
  <si>
    <r>
      <t>Adolfo Lozano</t>
    </r>
    <r>
      <rPr>
        <sz val="12"/>
        <rFont val="Aptos"/>
        <charset val="1"/>
      </rPr>
      <t xml:space="preserve"> (Dev) </t>
    </r>
  </si>
  <si>
    <r>
      <t>TOTAL EQUIPO</t>
    </r>
    <r>
      <rPr>
        <sz val="12"/>
        <rFont val="Aptos"/>
        <charset val="1"/>
      </rPr>
      <t> </t>
    </r>
  </si>
  <si>
    <t>Capacidad del proyecto (6 sprints de 1 semana)</t>
  </si>
  <si>
    <t>Número de iteraciones (sprints)</t>
  </si>
  <si>
    <t>Capacidad efectiva equipo / semana (h-p)</t>
  </si>
  <si>
    <t>Capacidad efectiva TOTAL proyecto (h-p)</t>
  </si>
  <si>
    <t>Tarifas por rol (€/h-p) — Corvalen Dynamics</t>
  </si>
  <si>
    <t>Miembro (Rol)</t>
  </si>
  <si>
    <t>Tarifa (€/h-p)</t>
  </si>
  <si>
    <t>Jorge Acedo (PO)</t>
  </si>
  <si>
    <t>Sergio Jiménez (SM)</t>
  </si>
  <si>
    <t>Alfonso Canal (TL)</t>
  </si>
  <si>
    <t>Elena Cancho (QA/DevOps)</t>
  </si>
  <si>
    <t>Adolfo Lozano (Dev)</t>
  </si>
  <si>
    <t>Tarifa media ponderada del equipo (€/h-p)</t>
  </si>
  <si>
    <r>
      <t>ID</t>
    </r>
    <r>
      <rPr>
        <sz val="12"/>
        <color rgb="FF1F1F1F"/>
        <rFont val="Aptos"/>
        <charset val="1"/>
      </rPr>
      <t> </t>
    </r>
  </si>
  <si>
    <r>
      <t>Épica</t>
    </r>
    <r>
      <rPr>
        <sz val="12"/>
        <color rgb="FF1F1F1F"/>
        <rFont val="Aptos"/>
        <charset val="1"/>
      </rPr>
      <t> </t>
    </r>
  </si>
  <si>
    <r>
      <t>Historia de Usuario</t>
    </r>
    <r>
      <rPr>
        <sz val="12"/>
        <color rgb="FF1F1F1F"/>
        <rFont val="Aptos"/>
        <charset val="1"/>
      </rPr>
      <t> </t>
    </r>
  </si>
  <si>
    <r>
      <t>Depende de</t>
    </r>
    <r>
      <rPr>
        <sz val="12"/>
        <color rgb="FF1F1F1F"/>
        <rFont val="Aptos"/>
        <charset val="1"/>
      </rPr>
      <t> </t>
    </r>
  </si>
  <si>
    <r>
      <t>Prioridad (MoSCoW)</t>
    </r>
    <r>
      <rPr>
        <sz val="12"/>
        <color rgb="FF1F1F1F"/>
        <rFont val="Aptos"/>
        <charset val="1"/>
      </rPr>
      <t> </t>
    </r>
  </si>
  <si>
    <r>
      <t>Estimación (h-p)</t>
    </r>
    <r>
      <rPr>
        <sz val="12"/>
        <color rgb="FF1F1F1F"/>
        <rFont val="Aptos"/>
        <charset val="1"/>
      </rPr>
      <t> </t>
    </r>
  </si>
  <si>
    <r>
      <t>US-001</t>
    </r>
    <r>
      <rPr>
        <sz val="12"/>
        <color rgb="FF1F1F1F"/>
        <rFont val="Aptos"/>
        <charset val="1"/>
      </rPr>
      <t> </t>
    </r>
  </si>
  <si>
    <t>EP-001 </t>
  </si>
  <si>
    <t>Buscar pieza por nombre o código para ver disponibilidad. </t>
  </si>
  <si>
    <t>- </t>
  </si>
  <si>
    <t>Must have </t>
  </si>
  <si>
    <r>
      <t>US-002</t>
    </r>
    <r>
      <rPr>
        <sz val="12"/>
        <color rgb="FF1F1F1F"/>
        <rFont val="Aptos"/>
        <charset val="1"/>
      </rPr>
      <t> </t>
    </r>
  </si>
  <si>
    <t>EP-002 </t>
  </si>
  <si>
    <t>Solicitar pieza indicando tarea de mantenimiento asociada. </t>
  </si>
  <si>
    <t>US-001 </t>
  </si>
  <si>
    <r>
      <t>US-003</t>
    </r>
    <r>
      <rPr>
        <sz val="12"/>
        <color rgb="FF1F1F1F"/>
        <rFont val="Aptos"/>
        <charset val="1"/>
      </rPr>
      <t> </t>
    </r>
  </si>
  <si>
    <t>EP-004 </t>
  </si>
  <si>
    <t>Consultar el estado (pendiente/aceptada/entregada) de mis solicitudes. </t>
  </si>
  <si>
    <t>US-002 </t>
  </si>
  <si>
    <r>
      <t>US-004</t>
    </r>
    <r>
      <rPr>
        <sz val="12"/>
        <color rgb="FF1F1F1F"/>
        <rFont val="Aptos"/>
        <charset val="1"/>
      </rPr>
      <t> </t>
    </r>
  </si>
  <si>
    <t>EP-003 </t>
  </si>
  <si>
    <t>Ver listado de solicitudes pendientes en almacén. </t>
  </si>
  <si>
    <r>
      <t>US-005</t>
    </r>
    <r>
      <rPr>
        <sz val="12"/>
        <color rgb="FF1F1F1F"/>
        <rFont val="Aptos"/>
        <charset val="1"/>
      </rPr>
      <t> </t>
    </r>
  </si>
  <si>
    <t>Aceptar o rechazar una solicitud pendiente. </t>
  </si>
  <si>
    <t>US-004 </t>
  </si>
  <si>
    <r>
      <t>US-006</t>
    </r>
    <r>
      <rPr>
        <sz val="12"/>
        <color rgb="FF1F1F1F"/>
        <rFont val="Aptos"/>
        <charset val="1"/>
      </rPr>
      <t> </t>
    </r>
  </si>
  <si>
    <t>Marcar solicitud como entregada y descontar stock. </t>
  </si>
  <si>
    <t>US-005 </t>
  </si>
  <si>
    <r>
      <t>US-007</t>
    </r>
    <r>
      <rPr>
        <sz val="12"/>
        <color rgb="FF1F1F1F"/>
        <rFont val="Aptos"/>
        <charset val="1"/>
      </rPr>
      <t> </t>
    </r>
  </si>
  <si>
    <t>Dar de alta manualmente una nueva pieza ficticia en el inventario. </t>
  </si>
  <si>
    <t>Should have </t>
  </si>
  <si>
    <r>
      <t>US-008</t>
    </r>
    <r>
      <rPr>
        <sz val="12"/>
        <color rgb="FF1F1F1F"/>
        <rFont val="Aptos"/>
        <charset val="1"/>
      </rPr>
      <t> </t>
    </r>
  </si>
  <si>
    <t>Ajustar manualmente la cantidad de stock de una pieza. </t>
  </si>
  <si>
    <t>US-007 </t>
  </si>
  <si>
    <r>
      <t>US-009</t>
    </r>
    <r>
      <rPr>
        <sz val="12"/>
        <color rgb="FF1F1F1F"/>
        <rFont val="Aptos"/>
        <charset val="1"/>
      </rPr>
      <t> </t>
    </r>
  </si>
  <si>
    <t>Cancelar una solicitud propia antes de ser gestionada por almacén. </t>
  </si>
  <si>
    <r>
      <t>US-010</t>
    </r>
    <r>
      <rPr>
        <sz val="12"/>
        <color rgb="FF1F1F1F"/>
        <rFont val="Aptos"/>
        <charset val="1"/>
      </rPr>
      <t> </t>
    </r>
  </si>
  <si>
    <t>Añadir nota explicativa obligatoria al rechazar una solicitud. </t>
  </si>
  <si>
    <r>
      <t>US-011</t>
    </r>
    <r>
      <rPr>
        <sz val="12"/>
        <color rgb="FF1F1F1F"/>
        <rFont val="Aptos"/>
        <charset val="1"/>
      </rPr>
      <t> </t>
    </r>
  </si>
  <si>
    <t>Filtrar catálogo de inventario por categoría de la pieza. </t>
  </si>
  <si>
    <t>Could have </t>
  </si>
  <si>
    <r>
      <t>US-012</t>
    </r>
    <r>
      <rPr>
        <sz val="12"/>
        <color rgb="FF1F1F1F"/>
        <rFont val="Aptos"/>
        <charset val="1"/>
      </rPr>
      <t> </t>
    </r>
  </si>
  <si>
    <t>Ordenar las piezas de inventario por cantidad de stock disponible. </t>
  </si>
  <si>
    <r>
      <t>US-013</t>
    </r>
    <r>
      <rPr>
        <sz val="12"/>
        <color rgb="FF1F1F1F"/>
        <rFont val="Aptos"/>
        <charset val="1"/>
      </rPr>
      <t> </t>
    </r>
  </si>
  <si>
    <t>Ver histórico de movimientos (entradas/salidas) de una pieza específica. </t>
  </si>
  <si>
    <t>US-006, US-008 </t>
  </si>
  <si>
    <r>
      <t>US-014</t>
    </r>
    <r>
      <rPr>
        <sz val="12"/>
        <color rgb="FF1F1F1F"/>
        <rFont val="Aptos"/>
        <charset val="1"/>
      </rPr>
      <t> </t>
    </r>
  </si>
  <si>
    <t>Duplicar una solicitud anterior para agilizar pedidos recurrentes. </t>
  </si>
  <si>
    <t>US-003 </t>
  </si>
  <si>
    <r>
      <t>US-015</t>
    </r>
    <r>
      <rPr>
        <sz val="12"/>
        <color rgb="FF1F1F1F"/>
        <rFont val="Aptos"/>
        <charset val="1"/>
      </rPr>
      <t> </t>
    </r>
  </si>
  <si>
    <t>Filtrar solicitudes en almacén por fecha de creación. </t>
  </si>
  <si>
    <r>
      <t>US-016</t>
    </r>
    <r>
      <rPr>
        <sz val="12"/>
        <color rgb="FF1F1F1F"/>
        <rFont val="Aptos"/>
        <charset val="1"/>
      </rPr>
      <t> </t>
    </r>
  </si>
  <si>
    <t>Recibir alerta visual en el sistema cuando cambie el estado de mi solicitud. </t>
  </si>
  <si>
    <t>Won't have </t>
  </si>
  <si>
    <r>
      <t>US-017</t>
    </r>
    <r>
      <rPr>
        <sz val="12"/>
        <color rgb="FF1F1F1F"/>
        <rFont val="Aptos"/>
        <charset val="1"/>
      </rPr>
      <t> </t>
    </r>
  </si>
  <si>
    <t>Marcar una pieza como "stock bajo" automáticamente. </t>
  </si>
  <si>
    <r>
      <t>US-018</t>
    </r>
    <r>
      <rPr>
        <sz val="12"/>
        <color rgb="FF1F1F1F"/>
        <rFont val="Aptos"/>
        <charset val="1"/>
      </rPr>
      <t> </t>
    </r>
  </si>
  <si>
    <t>Exportar el justificante de entrega de una solicitud a PDF. </t>
  </si>
  <si>
    <t>US-006 </t>
  </si>
  <si>
    <t>CENTINELA — Carga asignada por iteración y por persona</t>
  </si>
  <si>
    <t>La carga total de cada sprint se reparte entre el equipo en proporción a la capacidad efectiva de cada persona. El desglose exacto por tarea y persona se hará al planificar cada iteración en detalle.</t>
  </si>
  <si>
    <t>Iteración</t>
  </si>
  <si>
    <t>Carga asignada (h-p)</t>
  </si>
  <si>
    <t>Capacidad efectiva equipo (h-p)</t>
  </si>
  <si>
    <t>Sobrecarga / Margen (h-p)</t>
  </si>
  <si>
    <t>Estado</t>
  </si>
  <si>
    <t>IT-001</t>
  </si>
  <si>
    <t>IT-002</t>
  </si>
  <si>
    <t>IT-003</t>
  </si>
  <si>
    <t>IT-004</t>
  </si>
  <si>
    <t>IT-005</t>
  </si>
  <si>
    <t>IT-006</t>
  </si>
  <si>
    <t>TOTAL PROYECTO</t>
  </si>
  <si>
    <t> </t>
  </si>
  <si>
    <t>Trabajo sin asignar a Release 1 (h-p)</t>
  </si>
  <si>
    <t>Margen total disponible (6 sprints, h-p)</t>
  </si>
  <si>
    <t>CENTINELA — Cálculo de coste</t>
  </si>
  <si>
    <t>Coste = esfuerzo (h-p) × tarifa media ponderada del equipo (hoja Capacidad). Ver supuesto de tarifas allí.</t>
  </si>
  <si>
    <t>Coste por historia de usuario</t>
  </si>
  <si>
    <t>Épica</t>
  </si>
  <si>
    <t>Estimación (h-p)</t>
  </si>
  <si>
    <t>Coste (€)</t>
  </si>
  <si>
    <t>¡</t>
  </si>
  <si>
    <t>Sin planificar</t>
  </si>
  <si>
    <t>TOTAL CATÁLOGO</t>
  </si>
  <si>
    <t>TOTAL PLANIFICADO Release 1</t>
  </si>
  <si>
    <t>Coste por persona (Release 1, 6 sprints)</t>
  </si>
  <si>
    <t>Carga total asignada (h-p)</t>
  </si>
  <si>
    <t>TOTAL</t>
  </si>
  <si>
    <t>Comprobación (coste por historia = coste por persona)</t>
  </si>
  <si>
    <t>Coste por iteración (sprint)</t>
  </si>
  <si>
    <t>Carga (h-p)</t>
  </si>
  <si>
    <t>CENTINELA — Análisis de viabilidad (Release 1)</t>
  </si>
  <si>
    <t>Capacidad efectiva equipo / sprint (h-p)</t>
  </si>
  <si>
    <t>Nº de sprints (6 semanas de ejecución real)</t>
  </si>
  <si>
    <t>Capacidad efectiva TOTAL del proyecto (h-p)</t>
  </si>
  <si>
    <t>Esfuerzo Must+Should have (núcleo, h-p)</t>
  </si>
  <si>
    <t>Esfuerzo total planificado Release 1 (h-p)</t>
  </si>
  <si>
    <t>Esfuerzo diferido (Could/Won't sin planificar, h-p)</t>
  </si>
  <si>
    <t>Margen disponible (h-p)</t>
  </si>
  <si>
    <t>% de capacidad utilizada (Release 1)</t>
  </si>
  <si>
    <t>Sprints necesarios para el núcleo (Must+Should)</t>
  </si>
  <si>
    <t>Coste total estimado del proyecto (Release 1)</t>
  </si>
  <si>
    <t>Veredicto de viabilidad</t>
  </si>
  <si>
    <t>VIABLE: la carga planificada no supera la capacidad efectiva del equipo en ningún sprint. Margen de 28.5 h-p (31% de la capacidad total) para imprevistos, refinar historias Could have o absorber retrasos.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</si>
</sst>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164" formatCode="0.0\ &quot;h&quot;"/>
    <numFmt numFmtId="165" formatCode="0.0\ &quot;h-p&quot;"/>
    <numFmt numFmtId="166" formatCode="&quot;Media: &quot;0%"/>
  </numFmts>
  <fonts count="16">
    <font>
      <sz val="11"/>
      <color theme="1"/>
      <name val="Calibri"/>
      <family val="2"/>
      <scheme val="minor"/>
    </font>
    <font>
      <sz val="12"/>
      <name val="Aptos"/>
      <charset val="1"/>
    </font>
    <font>
      <b/>
      <sz val="12"/>
      <name val="Aptos"/>
      <charset val="1"/>
    </font>
    <font>
      <sz val="12"/>
      <color rgb="FF1F1F1F"/>
      <name val="Aptos"/>
      <charset val="1"/>
    </font>
    <font>
      <b/>
      <sz val="12"/>
      <color rgb="FF1F1F1F"/>
      <name val="Aptos"/>
      <charset val="1"/>
    </font>
    <font>
      <b/>
      <sz val="12"/>
      <color rgb="FF000000"/>
      <name val="Aptos"/>
    </font>
    <font>
      <b/>
      <sz val="14"/>
      <color rgb="FF1F4E78"/>
      <name val="Arial"/>
      <charset val="1"/>
    </font>
    <font>
      <i/>
      <sz val="9"/>
      <color rgb="FF7F7F7F"/>
      <name val="Arial"/>
      <charset val="1"/>
    </font>
    <font>
      <sz val="11"/>
      <color rgb="FF000000"/>
      <name val="Calibri"/>
      <family val="2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sz val="11"/>
      <color rgb="FF006100"/>
      <name val="Arial"/>
      <charset val="1"/>
    </font>
    <font>
      <b/>
      <sz val="11"/>
      <color rgb="FF000000"/>
      <name val="Arial"/>
      <charset val="1"/>
    </font>
    <font>
      <i/>
      <sz val="9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F4E78"/>
        <bgColor rgb="FF003366"/>
      </patternFill>
    </fill>
    <fill>
      <patternFill patternType="solid">
        <fgColor rgb="FFC6EFCE"/>
        <bgColor rgb="FF000000"/>
      </patternFill>
    </fill>
    <fill>
      <patternFill patternType="solid">
        <fgColor rgb="FFD9E1F2"/>
        <bgColor rgb="FFC6EFCE"/>
      </patternFill>
    </fill>
    <fill>
      <patternFill patternType="solid">
        <fgColor rgb="FFC6EFCE"/>
        <bgColor rgb="FFD9E1F2"/>
      </patternFill>
    </fill>
  </fills>
  <borders count="7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1" xfId="0" applyFont="1" applyBorder="1" applyAlignment="1">
      <alignment horizontal="center" readingOrder="1"/>
    </xf>
    <xf numFmtId="0" fontId="2" fillId="2" borderId="1" xfId="0" applyFont="1" applyFill="1" applyBorder="1" applyAlignment="1">
      <alignment horizontal="center" readingOrder="1"/>
    </xf>
    <xf numFmtId="0" fontId="3" fillId="0" borderId="1" xfId="0" applyFont="1" applyBorder="1" applyAlignment="1">
      <alignment horizontal="center" readingOrder="1"/>
    </xf>
    <xf numFmtId="0" fontId="3" fillId="0" borderId="1" xfId="0" quotePrefix="1" applyFont="1" applyBorder="1" applyAlignment="1">
      <alignment horizontal="center" readingOrder="1"/>
    </xf>
    <xf numFmtId="0" fontId="4" fillId="3" borderId="1" xfId="0" applyFont="1" applyFill="1" applyBorder="1" applyAlignment="1">
      <alignment horizontal="center" readingOrder="1"/>
    </xf>
    <xf numFmtId="0" fontId="4" fillId="4" borderId="1" xfId="0" applyFont="1" applyFill="1" applyBorder="1" applyAlignment="1">
      <alignment horizontal="center" readingOrder="1"/>
    </xf>
    <xf numFmtId="0" fontId="7" fillId="0" borderId="0" xfId="0" applyFont="1"/>
    <xf numFmtId="0" fontId="8" fillId="0" borderId="0" xfId="0" applyFont="1"/>
    <xf numFmtId="0" fontId="9" fillId="5" borderId="2" xfId="0" applyFont="1" applyFill="1" applyBorder="1" applyAlignment="1">
      <alignment wrapText="1"/>
    </xf>
    <xf numFmtId="0" fontId="9" fillId="5" borderId="3" xfId="0" applyFont="1" applyFill="1" applyBorder="1" applyAlignment="1">
      <alignment wrapText="1"/>
    </xf>
    <xf numFmtId="0" fontId="10" fillId="0" borderId="4" xfId="0" applyFont="1" applyBorder="1"/>
    <xf numFmtId="0" fontId="10" fillId="0" borderId="5" xfId="0" applyFont="1" applyBorder="1"/>
    <xf numFmtId="0" fontId="12" fillId="7" borderId="4" xfId="0" applyFont="1" applyFill="1" applyBorder="1"/>
    <xf numFmtId="0" fontId="12" fillId="7" borderId="5" xfId="0" applyFont="1" applyFill="1" applyBorder="1"/>
    <xf numFmtId="0" fontId="8" fillId="7" borderId="5" xfId="0" applyFont="1" applyFill="1" applyBorder="1"/>
    <xf numFmtId="0" fontId="12" fillId="0" borderId="0" xfId="0" applyFont="1"/>
    <xf numFmtId="0" fontId="12" fillId="8" borderId="0" xfId="0" applyFont="1" applyFill="1"/>
    <xf numFmtId="8" fontId="10" fillId="0" borderId="5" xfId="0" applyNumberFormat="1" applyFont="1" applyBorder="1"/>
    <xf numFmtId="8" fontId="12" fillId="7" borderId="0" xfId="0" applyNumberFormat="1" applyFont="1" applyFill="1"/>
    <xf numFmtId="8" fontId="12" fillId="8" borderId="0" xfId="0" applyNumberFormat="1" applyFont="1" applyFill="1"/>
    <xf numFmtId="6" fontId="10" fillId="0" borderId="5" xfId="0" applyNumberFormat="1" applyFont="1" applyBorder="1"/>
    <xf numFmtId="8" fontId="12" fillId="7" borderId="5" xfId="0" applyNumberFormat="1" applyFont="1" applyFill="1" applyBorder="1"/>
    <xf numFmtId="0" fontId="13" fillId="0" borderId="0" xfId="0" applyFont="1"/>
    <xf numFmtId="0" fontId="10" fillId="0" borderId="2" xfId="0" applyFont="1" applyBorder="1"/>
    <xf numFmtId="0" fontId="12" fillId="0" borderId="3" xfId="0" applyFont="1" applyBorder="1"/>
    <xf numFmtId="0" fontId="12" fillId="0" borderId="5" xfId="0" applyFont="1" applyBorder="1"/>
    <xf numFmtId="0" fontId="12" fillId="8" borderId="5" xfId="0" applyFont="1" applyFill="1" applyBorder="1"/>
    <xf numFmtId="9" fontId="12" fillId="0" borderId="5" xfId="0" applyNumberFormat="1" applyFont="1" applyBorder="1"/>
    <xf numFmtId="8" fontId="12" fillId="8" borderId="5" xfId="0" applyNumberFormat="1" applyFont="1" applyFill="1" applyBorder="1"/>
    <xf numFmtId="0" fontId="10" fillId="0" borderId="0" xfId="0" applyFont="1"/>
    <xf numFmtId="0" fontId="10" fillId="0" borderId="0" xfId="0" applyFont="1" applyAlignment="1">
      <alignment wrapText="1"/>
    </xf>
    <xf numFmtId="0" fontId="14" fillId="0" borderId="0" xfId="0" applyFont="1"/>
    <xf numFmtId="6" fontId="14" fillId="0" borderId="5" xfId="0" applyNumberFormat="1" applyFont="1" applyBorder="1"/>
    <xf numFmtId="164" fontId="1" fillId="0" borderId="1" xfId="0" applyNumberFormat="1" applyFont="1" applyBorder="1" applyAlignment="1">
      <alignment horizontal="center" readingOrder="1"/>
    </xf>
    <xf numFmtId="164" fontId="2" fillId="0" borderId="1" xfId="0" applyNumberFormat="1" applyFont="1" applyBorder="1" applyAlignment="1">
      <alignment horizontal="center" readingOrder="1"/>
    </xf>
    <xf numFmtId="165" fontId="2" fillId="0" borderId="1" xfId="0" applyNumberFormat="1" applyFont="1" applyBorder="1" applyAlignment="1">
      <alignment horizontal="center" readingOrder="1"/>
    </xf>
    <xf numFmtId="165" fontId="10" fillId="0" borderId="0" xfId="0" applyNumberFormat="1" applyFont="1"/>
    <xf numFmtId="10" fontId="1" fillId="0" borderId="1" xfId="0" applyNumberFormat="1" applyFont="1" applyBorder="1" applyAlignment="1">
      <alignment horizontal="center" readingOrder="1"/>
    </xf>
    <xf numFmtId="166" fontId="5" fillId="0" borderId="1" xfId="0" applyNumberFormat="1" applyFont="1" applyBorder="1" applyAlignment="1">
      <alignment horizontal="center" readingOrder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2" fillId="0" borderId="6" xfId="0" applyFont="1" applyBorder="1"/>
    <xf numFmtId="0" fontId="12" fillId="8" borderId="6" xfId="0" applyFont="1" applyFill="1" applyBorder="1"/>
    <xf numFmtId="8" fontId="10" fillId="0" borderId="5" xfId="0" applyNumberFormat="1" applyFont="1" applyBorder="1" applyAlignment="1">
      <alignment horizontal="center" vertical="center"/>
    </xf>
    <xf numFmtId="6" fontId="15" fillId="7" borderId="5" xfId="0" applyNumberFormat="1" applyFont="1" applyFill="1" applyBorder="1"/>
    <xf numFmtId="0" fontId="12" fillId="0" borderId="6" xfId="0" applyFont="1" applyBorder="1" applyAlignment="1">
      <alignment horizontal="center"/>
    </xf>
    <xf numFmtId="2" fontId="10" fillId="0" borderId="5" xfId="0" applyNumberFormat="1" applyFont="1" applyBorder="1" applyAlignment="1">
      <alignment horizontal="center" vertical="center"/>
    </xf>
    <xf numFmtId="2" fontId="12" fillId="7" borderId="5" xfId="0" applyNumberFormat="1" applyFont="1" applyFill="1" applyBorder="1"/>
    <xf numFmtId="2" fontId="12" fillId="0" borderId="5" xfId="0" applyNumberFormat="1" applyFont="1" applyBorder="1"/>
    <xf numFmtId="0" fontId="12" fillId="0" borderId="0" xfId="0" applyFont="1" applyAlignment="1"/>
    <xf numFmtId="0" fontId="6" fillId="0" borderId="0" xfId="0" applyFont="1" applyAlignme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Viabilidad</a:t>
            </a:r>
          </a:p>
        </c:rich>
      </c:tx>
      <c:layout>
        <c:manualLayout>
          <c:xMode val="edge"/>
          <c:yMode val="edge"/>
          <c:x val="0.4136596675415573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Carga real trabajo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'Carga y Capacidad'!$A$7:$A$12</c:f>
              <c:strCache>
                <c:ptCount val="6"/>
                <c:pt idx="0">
                  <c:v>IT-001</c:v>
                </c:pt>
                <c:pt idx="1">
                  <c:v>IT-002</c:v>
                </c:pt>
                <c:pt idx="2">
                  <c:v>IT-003</c:v>
                </c:pt>
                <c:pt idx="3">
                  <c:v>IT-004</c:v>
                </c:pt>
                <c:pt idx="4">
                  <c:v>IT-005</c:v>
                </c:pt>
                <c:pt idx="5">
                  <c:v>IT-006</c:v>
                </c:pt>
              </c:strCache>
            </c:strRef>
          </c:cat>
          <c:val>
            <c:numRef>
              <c:f>'Carga y Capacidad'!$B$7:$B$12</c:f>
              <c:numCache>
                <c:formatCode>General</c:formatCode>
                <c:ptCount val="6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C2-45B6-9D7F-BA96CB859733}"/>
            </c:ext>
          </c:extLst>
        </c:ser>
        <c:ser>
          <c:idx val="1"/>
          <c:order val="1"/>
          <c:tx>
            <c:v>Carga efectiva equipo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'Carga y Capacidad'!$A$7:$A$12</c:f>
              <c:strCache>
                <c:ptCount val="6"/>
                <c:pt idx="0">
                  <c:v>IT-001</c:v>
                </c:pt>
                <c:pt idx="1">
                  <c:v>IT-002</c:v>
                </c:pt>
                <c:pt idx="2">
                  <c:v>IT-003</c:v>
                </c:pt>
                <c:pt idx="3">
                  <c:v>IT-004</c:v>
                </c:pt>
                <c:pt idx="4">
                  <c:v>IT-005</c:v>
                </c:pt>
                <c:pt idx="5">
                  <c:v>IT-006</c:v>
                </c:pt>
              </c:strCache>
            </c:strRef>
          </c:cat>
          <c:val>
            <c:numRef>
              <c:f>'Carga y Capacidad'!$C$7:$C$12</c:f>
              <c:numCache>
                <c:formatCode>General</c:formatCode>
                <c:ptCount val="6"/>
                <c:pt idx="0">
                  <c:v>15.5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C2-45B6-9D7F-BA96CB859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7629064"/>
        <c:axId val="1227631112"/>
      </c:lineChart>
      <c:catAx>
        <c:axId val="1227629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631112"/>
        <c:crosses val="autoZero"/>
        <c:auto val="1"/>
        <c:lblAlgn val="ctr"/>
        <c:lblOffset val="100"/>
        <c:noMultiLvlLbl val="0"/>
      </c:catAx>
      <c:valAx>
        <c:axId val="1227631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629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18</xdr:col>
      <xdr:colOff>114300</xdr:colOff>
      <xdr:row>26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BFC335-1118-4C0C-8FBE-0398ABDFA4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26"/>
  <sheetViews>
    <sheetView workbookViewId="0">
      <selection activeCell="C26" sqref="C26"/>
    </sheetView>
  </sheetViews>
  <sheetFormatPr defaultRowHeight="15"/>
  <cols>
    <col min="2" max="2" width="42" customWidth="1"/>
    <col min="3" max="3" width="25.85546875" customWidth="1"/>
    <col min="4" max="4" width="24.42578125" customWidth="1"/>
    <col min="5" max="5" width="33.28515625" customWidth="1"/>
    <col min="6" max="9" width="27.42578125" customWidth="1"/>
  </cols>
  <sheetData>
    <row r="3" spans="2:8" ht="15.75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</row>
    <row r="4" spans="2:8" ht="15.75">
      <c r="B4" s="1" t="s">
        <v>7</v>
      </c>
      <c r="C4" s="34">
        <v>6</v>
      </c>
      <c r="D4" s="34">
        <v>1.5</v>
      </c>
      <c r="E4" s="34">
        <v>1.5</v>
      </c>
      <c r="F4" s="34">
        <v>0.5</v>
      </c>
      <c r="G4" s="36">
        <f>C4-D4-E4-F4</f>
        <v>2.5</v>
      </c>
      <c r="H4" s="38">
        <f>G4/C4</f>
        <v>0.41666666666666669</v>
      </c>
    </row>
    <row r="5" spans="2:8" ht="15.75">
      <c r="B5" s="1" t="s">
        <v>8</v>
      </c>
      <c r="C5" s="34">
        <v>6</v>
      </c>
      <c r="D5" s="34">
        <v>1.5</v>
      </c>
      <c r="E5" s="34">
        <v>1.5</v>
      </c>
      <c r="F5" s="34">
        <v>0.5</v>
      </c>
      <c r="G5" s="36">
        <f>C5-D5-E5-F5</f>
        <v>2.5</v>
      </c>
      <c r="H5" s="38">
        <f t="shared" ref="H5:H8" si="0">G5/C5</f>
        <v>0.41666666666666669</v>
      </c>
    </row>
    <row r="6" spans="2:8" ht="15.75">
      <c r="B6" s="1" t="s">
        <v>9</v>
      </c>
      <c r="C6" s="34">
        <v>6</v>
      </c>
      <c r="D6" s="34">
        <v>1.5</v>
      </c>
      <c r="E6" s="34">
        <v>1</v>
      </c>
      <c r="F6" s="34">
        <v>0.5</v>
      </c>
      <c r="G6" s="36">
        <f>C6-D6-E6-F6</f>
        <v>3</v>
      </c>
      <c r="H6" s="38">
        <f t="shared" si="0"/>
        <v>0.5</v>
      </c>
    </row>
    <row r="7" spans="2:8" ht="15.75">
      <c r="B7" s="1" t="s">
        <v>10</v>
      </c>
      <c r="C7" s="34">
        <v>6</v>
      </c>
      <c r="D7" s="34">
        <v>1.5</v>
      </c>
      <c r="E7" s="34">
        <v>0.5</v>
      </c>
      <c r="F7" s="34">
        <v>0.5</v>
      </c>
      <c r="G7" s="36">
        <f>C7-D7-E7-F7</f>
        <v>3.5</v>
      </c>
      <c r="H7" s="38">
        <f t="shared" si="0"/>
        <v>0.58333333333333337</v>
      </c>
    </row>
    <row r="8" spans="2:8" ht="15.75">
      <c r="B8" s="1" t="s">
        <v>11</v>
      </c>
      <c r="C8" s="34">
        <v>6</v>
      </c>
      <c r="D8" s="34">
        <v>1.5</v>
      </c>
      <c r="E8" s="34">
        <v>0</v>
      </c>
      <c r="F8" s="34">
        <v>0.5</v>
      </c>
      <c r="G8" s="36">
        <f>C8-D8-E8-F8</f>
        <v>4</v>
      </c>
      <c r="H8" s="38">
        <f t="shared" si="0"/>
        <v>0.66666666666666663</v>
      </c>
    </row>
    <row r="9" spans="2:8" ht="15.75">
      <c r="B9" s="1" t="s">
        <v>12</v>
      </c>
      <c r="C9" s="35">
        <f t="shared" ref="C9:E9" si="1">SUM(C4:C8)</f>
        <v>30</v>
      </c>
      <c r="D9" s="35">
        <f t="shared" si="1"/>
        <v>7.5</v>
      </c>
      <c r="E9" s="35">
        <f t="shared" si="1"/>
        <v>4.5</v>
      </c>
      <c r="F9" s="35">
        <f>SUM(F4:F8)</f>
        <v>2.5</v>
      </c>
      <c r="G9" s="36">
        <f>SUM(G4:G8)</f>
        <v>15.5</v>
      </c>
      <c r="H9" s="39">
        <f>G9/C9</f>
        <v>0.51666666666666672</v>
      </c>
    </row>
    <row r="12" spans="2:8">
      <c r="B12" s="53" t="s">
        <v>13</v>
      </c>
      <c r="C12" s="53"/>
      <c r="D12" s="53"/>
    </row>
    <row r="13" spans="2:8">
      <c r="B13" s="30" t="s">
        <v>14</v>
      </c>
      <c r="C13" s="32">
        <v>6</v>
      </c>
      <c r="D13" s="8"/>
    </row>
    <row r="14" spans="2:8">
      <c r="B14" s="30" t="s">
        <v>15</v>
      </c>
      <c r="C14" s="37">
        <v>15.5</v>
      </c>
      <c r="D14" s="8"/>
    </row>
    <row r="15" spans="2:8">
      <c r="B15" s="16" t="s">
        <v>16</v>
      </c>
      <c r="C15" s="17">
        <f>C13*C14</f>
        <v>93</v>
      </c>
      <c r="D15" s="8"/>
    </row>
    <row r="16" spans="2:8">
      <c r="B16" s="8"/>
      <c r="C16" s="8"/>
      <c r="D16" s="8"/>
    </row>
    <row r="17" spans="2:4">
      <c r="B17" s="8"/>
      <c r="C17" s="8"/>
      <c r="D17" s="8"/>
    </row>
    <row r="18" spans="2:4">
      <c r="B18" s="53" t="s">
        <v>17</v>
      </c>
      <c r="C18" s="53"/>
      <c r="D18" s="53"/>
    </row>
    <row r="19" spans="2:4">
      <c r="B19" s="9" t="s">
        <v>18</v>
      </c>
      <c r="C19" s="10" t="s">
        <v>19</v>
      </c>
      <c r="D19" s="8"/>
    </row>
    <row r="20" spans="2:4">
      <c r="B20" s="11" t="s">
        <v>20</v>
      </c>
      <c r="C20" s="33">
        <v>32</v>
      </c>
      <c r="D20" s="8"/>
    </row>
    <row r="21" spans="2:4">
      <c r="B21" s="11" t="s">
        <v>21</v>
      </c>
      <c r="C21" s="33">
        <v>30</v>
      </c>
      <c r="D21" s="8"/>
    </row>
    <row r="22" spans="2:4">
      <c r="B22" s="11" t="s">
        <v>22</v>
      </c>
      <c r="C22" s="33">
        <v>42</v>
      </c>
      <c r="D22" s="8"/>
    </row>
    <row r="23" spans="2:4">
      <c r="B23" s="11" t="s">
        <v>23</v>
      </c>
      <c r="C23" s="33">
        <v>34</v>
      </c>
      <c r="D23" s="8"/>
    </row>
    <row r="24" spans="2:4">
      <c r="B24" s="11" t="s">
        <v>24</v>
      </c>
      <c r="C24" s="33">
        <v>28</v>
      </c>
      <c r="D24" s="8"/>
    </row>
    <row r="25" spans="2:4">
      <c r="B25" s="8"/>
      <c r="C25" s="8"/>
      <c r="D25" s="8"/>
    </row>
    <row r="26" spans="2:4">
      <c r="B26" s="16" t="s">
        <v>25</v>
      </c>
      <c r="C26" s="20">
        <f>SUMPRODUCT(G4:G8, C20:C24) / G9</f>
        <v>33.032258064516128</v>
      </c>
      <c r="D26" s="8"/>
    </row>
  </sheetData>
  <mergeCells count="2">
    <mergeCell ref="B12:D12"/>
    <mergeCell ref="B18:D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B2C03-ABD6-4081-8A94-7372CE63557F}">
  <dimension ref="B4:G22"/>
  <sheetViews>
    <sheetView tabSelected="1" workbookViewId="0">
      <selection activeCell="G16" sqref="G16"/>
    </sheetView>
  </sheetViews>
  <sheetFormatPr defaultRowHeight="15"/>
  <cols>
    <col min="2" max="3" width="21" customWidth="1"/>
    <col min="4" max="4" width="80.42578125" customWidth="1"/>
    <col min="5" max="5" width="21" customWidth="1"/>
    <col min="6" max="6" width="24.85546875" customWidth="1"/>
    <col min="7" max="7" width="21" customWidth="1"/>
  </cols>
  <sheetData>
    <row r="4" spans="2:7" ht="15.75">
      <c r="B4" s="5" t="s">
        <v>26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31</v>
      </c>
    </row>
    <row r="5" spans="2:7" ht="15.75">
      <c r="B5" s="6" t="s">
        <v>32</v>
      </c>
      <c r="C5" s="3" t="s">
        <v>33</v>
      </c>
      <c r="D5" s="3" t="s">
        <v>34</v>
      </c>
      <c r="E5" s="4" t="s">
        <v>35</v>
      </c>
      <c r="F5" s="3" t="s">
        <v>36</v>
      </c>
      <c r="G5" s="3">
        <v>4.5</v>
      </c>
    </row>
    <row r="6" spans="2:7" ht="15.75">
      <c r="B6" s="6" t="s">
        <v>37</v>
      </c>
      <c r="C6" s="3" t="s">
        <v>38</v>
      </c>
      <c r="D6" s="3" t="s">
        <v>39</v>
      </c>
      <c r="E6" s="3" t="s">
        <v>40</v>
      </c>
      <c r="F6" s="3" t="s">
        <v>36</v>
      </c>
      <c r="G6" s="3">
        <v>7.5</v>
      </c>
    </row>
    <row r="7" spans="2:7" ht="15.75">
      <c r="B7" s="6" t="s">
        <v>41</v>
      </c>
      <c r="C7" s="3" t="s">
        <v>42</v>
      </c>
      <c r="D7" s="3" t="s">
        <v>43</v>
      </c>
      <c r="E7" s="3" t="s">
        <v>44</v>
      </c>
      <c r="F7" s="3" t="s">
        <v>36</v>
      </c>
      <c r="G7" s="3">
        <v>4.5</v>
      </c>
    </row>
    <row r="8" spans="2:7" ht="15.75">
      <c r="B8" s="6" t="s">
        <v>45</v>
      </c>
      <c r="C8" s="3" t="s">
        <v>46</v>
      </c>
      <c r="D8" s="3" t="s">
        <v>47</v>
      </c>
      <c r="E8" s="3" t="s">
        <v>44</v>
      </c>
      <c r="F8" s="3" t="s">
        <v>36</v>
      </c>
      <c r="G8" s="3">
        <v>4.5</v>
      </c>
    </row>
    <row r="9" spans="2:7" ht="15.75">
      <c r="B9" s="6" t="s">
        <v>48</v>
      </c>
      <c r="C9" s="3" t="s">
        <v>46</v>
      </c>
      <c r="D9" s="3" t="s">
        <v>49</v>
      </c>
      <c r="E9" s="3" t="s">
        <v>50</v>
      </c>
      <c r="F9" s="3" t="s">
        <v>36</v>
      </c>
      <c r="G9" s="3">
        <v>3</v>
      </c>
    </row>
    <row r="10" spans="2:7" ht="15.75">
      <c r="B10" s="6" t="s">
        <v>51</v>
      </c>
      <c r="C10" s="3" t="s">
        <v>46</v>
      </c>
      <c r="D10" s="3" t="s">
        <v>52</v>
      </c>
      <c r="E10" s="3" t="s">
        <v>53</v>
      </c>
      <c r="F10" s="3" t="s">
        <v>36</v>
      </c>
      <c r="G10" s="3">
        <v>4.5</v>
      </c>
    </row>
    <row r="11" spans="2:7" ht="15.75">
      <c r="B11" s="6" t="s">
        <v>54</v>
      </c>
      <c r="C11" s="3" t="s">
        <v>46</v>
      </c>
      <c r="D11" s="3" t="s">
        <v>55</v>
      </c>
      <c r="E11" s="4" t="s">
        <v>35</v>
      </c>
      <c r="F11" s="3" t="s">
        <v>56</v>
      </c>
      <c r="G11" s="3">
        <v>7.5</v>
      </c>
    </row>
    <row r="12" spans="2:7" ht="15.75">
      <c r="B12" s="6" t="s">
        <v>57</v>
      </c>
      <c r="C12" s="3" t="s">
        <v>46</v>
      </c>
      <c r="D12" s="3" t="s">
        <v>58</v>
      </c>
      <c r="E12" s="3" t="s">
        <v>59</v>
      </c>
      <c r="F12" s="3" t="s">
        <v>56</v>
      </c>
      <c r="G12" s="3">
        <v>4.5</v>
      </c>
    </row>
    <row r="13" spans="2:7" ht="15.75">
      <c r="B13" s="6" t="s">
        <v>60</v>
      </c>
      <c r="C13" s="3" t="s">
        <v>38</v>
      </c>
      <c r="D13" s="3" t="s">
        <v>61</v>
      </c>
      <c r="E13" s="3" t="s">
        <v>44</v>
      </c>
      <c r="F13" s="3" t="s">
        <v>56</v>
      </c>
      <c r="G13" s="3">
        <v>4.5</v>
      </c>
    </row>
    <row r="14" spans="2:7" ht="15.75">
      <c r="B14" s="6" t="s">
        <v>62</v>
      </c>
      <c r="C14" s="3" t="s">
        <v>46</v>
      </c>
      <c r="D14" s="3" t="s">
        <v>63</v>
      </c>
      <c r="E14" s="3" t="s">
        <v>53</v>
      </c>
      <c r="F14" s="3" t="s">
        <v>56</v>
      </c>
      <c r="G14" s="3">
        <v>3</v>
      </c>
    </row>
    <row r="15" spans="2:7" ht="15.75">
      <c r="B15" s="6" t="s">
        <v>64</v>
      </c>
      <c r="C15" s="3" t="s">
        <v>33</v>
      </c>
      <c r="D15" s="3" t="s">
        <v>65</v>
      </c>
      <c r="E15" s="3" t="s">
        <v>40</v>
      </c>
      <c r="F15" s="3" t="s">
        <v>66</v>
      </c>
      <c r="G15" s="3">
        <v>3</v>
      </c>
    </row>
    <row r="16" spans="2:7" ht="15.75">
      <c r="B16" s="6" t="s">
        <v>67</v>
      </c>
      <c r="C16" s="3" t="s">
        <v>33</v>
      </c>
      <c r="D16" s="3" t="s">
        <v>68</v>
      </c>
      <c r="E16" s="3" t="s">
        <v>40</v>
      </c>
      <c r="F16" s="3" t="s">
        <v>66</v>
      </c>
      <c r="G16" s="3">
        <v>3</v>
      </c>
    </row>
    <row r="17" spans="2:7" ht="15.75">
      <c r="B17" s="6" t="s">
        <v>69</v>
      </c>
      <c r="C17" s="3" t="s">
        <v>42</v>
      </c>
      <c r="D17" s="3" t="s">
        <v>70</v>
      </c>
      <c r="E17" s="3" t="s">
        <v>71</v>
      </c>
      <c r="F17" s="3" t="s">
        <v>66</v>
      </c>
      <c r="G17" s="3">
        <v>6</v>
      </c>
    </row>
    <row r="18" spans="2:7" ht="15.75">
      <c r="B18" s="6" t="s">
        <v>72</v>
      </c>
      <c r="C18" s="3" t="s">
        <v>38</v>
      </c>
      <c r="D18" s="3" t="s">
        <v>73</v>
      </c>
      <c r="E18" s="3" t="s">
        <v>74</v>
      </c>
      <c r="F18" s="3" t="s">
        <v>66</v>
      </c>
      <c r="G18" s="3">
        <v>4.5</v>
      </c>
    </row>
    <row r="19" spans="2:7" ht="15.75">
      <c r="B19" s="6" t="s">
        <v>75</v>
      </c>
      <c r="C19" s="3" t="s">
        <v>46</v>
      </c>
      <c r="D19" s="3" t="s">
        <v>76</v>
      </c>
      <c r="E19" s="3" t="s">
        <v>50</v>
      </c>
      <c r="F19" s="3" t="s">
        <v>66</v>
      </c>
      <c r="G19" s="3">
        <v>3</v>
      </c>
    </row>
    <row r="20" spans="2:7" ht="15.75">
      <c r="B20" s="6" t="s">
        <v>77</v>
      </c>
      <c r="C20" s="3" t="s">
        <v>42</v>
      </c>
      <c r="D20" s="3" t="s">
        <v>78</v>
      </c>
      <c r="E20" s="3" t="s">
        <v>53</v>
      </c>
      <c r="F20" s="3" t="s">
        <v>79</v>
      </c>
      <c r="G20" s="3">
        <v>7.5</v>
      </c>
    </row>
    <row r="21" spans="2:7" ht="15.75">
      <c r="B21" s="6" t="s">
        <v>80</v>
      </c>
      <c r="C21" s="3" t="s">
        <v>33</v>
      </c>
      <c r="D21" s="3" t="s">
        <v>81</v>
      </c>
      <c r="E21" s="3" t="s">
        <v>71</v>
      </c>
      <c r="F21" s="3" t="s">
        <v>79</v>
      </c>
      <c r="G21" s="3">
        <v>7.5</v>
      </c>
    </row>
    <row r="22" spans="2:7" ht="15.75">
      <c r="B22" s="6" t="s">
        <v>82</v>
      </c>
      <c r="C22" s="3" t="s">
        <v>42</v>
      </c>
      <c r="D22" s="3" t="s">
        <v>83</v>
      </c>
      <c r="E22" s="3" t="s">
        <v>84</v>
      </c>
      <c r="F22" s="3" t="s">
        <v>79</v>
      </c>
      <c r="G22" s="3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D05B4-4631-47BD-BFBA-F702585C92F5}">
  <dimension ref="A3:J16"/>
  <sheetViews>
    <sheetView workbookViewId="0">
      <selection activeCell="D17" sqref="D17"/>
    </sheetView>
  </sheetViews>
  <sheetFormatPr defaultRowHeight="15"/>
  <cols>
    <col min="1" max="1" width="25.7109375" customWidth="1"/>
    <col min="2" max="2" width="28.5703125" customWidth="1"/>
    <col min="3" max="3" width="36.42578125" customWidth="1"/>
    <col min="4" max="4" width="23.7109375" customWidth="1"/>
    <col min="5" max="5" width="23.85546875" customWidth="1"/>
    <col min="6" max="6" width="22.85546875" customWidth="1"/>
    <col min="7" max="7" width="21.7109375" customWidth="1"/>
    <col min="8" max="8" width="23.5703125" customWidth="1"/>
    <col min="9" max="9" width="26.5703125" customWidth="1"/>
    <col min="10" max="10" width="13.85546875" customWidth="1"/>
  </cols>
  <sheetData>
    <row r="3" spans="1:10" ht="18">
      <c r="A3" s="54" t="s">
        <v>85</v>
      </c>
      <c r="B3" s="54"/>
      <c r="C3" s="54"/>
      <c r="D3" s="54"/>
      <c r="E3" s="54"/>
      <c r="F3" s="54"/>
      <c r="G3" s="54"/>
      <c r="H3" s="54"/>
      <c r="I3" s="54"/>
      <c r="J3" s="54"/>
    </row>
    <row r="4" spans="1:10">
      <c r="A4" s="55" t="s">
        <v>86</v>
      </c>
      <c r="B4" s="55"/>
      <c r="C4" s="55"/>
      <c r="D4" s="55"/>
      <c r="E4" s="55"/>
      <c r="F4" s="55"/>
      <c r="G4" s="55"/>
      <c r="H4" s="55"/>
      <c r="I4" s="55"/>
      <c r="J4" s="55"/>
    </row>
    <row r="5" spans="1:10">
      <c r="A5" s="8"/>
      <c r="B5" s="8"/>
      <c r="C5" s="8"/>
      <c r="D5" s="8"/>
      <c r="E5" s="8"/>
      <c r="F5" s="8"/>
      <c r="G5" s="8"/>
      <c r="H5" s="8"/>
      <c r="I5" s="8"/>
      <c r="J5" s="8"/>
    </row>
    <row r="6" spans="1:10" ht="28.5" customHeight="1">
      <c r="A6" s="40" t="s">
        <v>87</v>
      </c>
      <c r="B6" s="41" t="s">
        <v>88</v>
      </c>
      <c r="C6" s="41" t="s">
        <v>89</v>
      </c>
      <c r="D6" s="41" t="s">
        <v>20</v>
      </c>
      <c r="E6" s="41" t="s">
        <v>21</v>
      </c>
      <c r="F6" s="41" t="s">
        <v>22</v>
      </c>
      <c r="G6" s="41" t="s">
        <v>23</v>
      </c>
      <c r="H6" s="41" t="s">
        <v>24</v>
      </c>
      <c r="I6" s="41" t="s">
        <v>90</v>
      </c>
      <c r="J6" s="41" t="s">
        <v>91</v>
      </c>
    </row>
    <row r="7" spans="1:10">
      <c r="A7" s="42" t="s">
        <v>92</v>
      </c>
      <c r="B7" s="43">
        <f>SUMIF(Coste!$E$8:$E$25, A7, Coste!$D$8:$D$25)</f>
        <v>12</v>
      </c>
      <c r="C7" s="43">
        <f>'Capacidad del equipo'!$G$9</f>
        <v>15.5</v>
      </c>
      <c r="D7" s="50">
        <f>($B7 * 'Capacidad del equipo'!$G$4) / 'Capacidad del equipo'!$G$9</f>
        <v>1.935483870967742</v>
      </c>
      <c r="E7" s="50">
        <f>($B7 * 'Capacidad del equipo'!$G$5) / 'Capacidad del equipo'!$G$9</f>
        <v>1.935483870967742</v>
      </c>
      <c r="F7" s="50">
        <f>($B7 * 'Capacidad del equipo'!$G$6) / 'Capacidad del equipo'!$G$9</f>
        <v>2.3225806451612905</v>
      </c>
      <c r="G7" s="50">
        <f>($B7 * 'Capacidad del equipo'!$G$7) / 'Capacidad del equipo'!$G$9</f>
        <v>2.7096774193548385</v>
      </c>
      <c r="H7" s="50">
        <f>($B7 * 'Capacidad del equipo'!$G$8) / 'Capacidad del equipo'!$G$9</f>
        <v>3.096774193548387</v>
      </c>
      <c r="I7" s="44">
        <f>C7 - B7</f>
        <v>3.5</v>
      </c>
      <c r="J7" s="43" t="str">
        <f>IF(I7&gt;=0, "OK", "SOBRECARGA")</f>
        <v>OK</v>
      </c>
    </row>
    <row r="8" spans="1:10">
      <c r="A8" s="42" t="s">
        <v>93</v>
      </c>
      <c r="B8" s="43">
        <f>SUMIF(Coste!$E$8:$E$25, A8, Coste!$D$8:$D$25)</f>
        <v>12</v>
      </c>
      <c r="C8" s="43">
        <f>'Capacidad del equipo'!$G$9</f>
        <v>15.5</v>
      </c>
      <c r="D8" s="50">
        <f>($B8 * 'Capacidad del equipo'!$G$4) / 'Capacidad del equipo'!$G$9</f>
        <v>1.935483870967742</v>
      </c>
      <c r="E8" s="50">
        <f>($B8 * 'Capacidad del equipo'!$G$5) / 'Capacidad del equipo'!$G$9</f>
        <v>1.935483870967742</v>
      </c>
      <c r="F8" s="50">
        <f>($B8 * 'Capacidad del equipo'!$G$6) / 'Capacidad del equipo'!$G$9</f>
        <v>2.3225806451612905</v>
      </c>
      <c r="G8" s="50">
        <f>($B8 * 'Capacidad del equipo'!$G$7) / 'Capacidad del equipo'!$G$9</f>
        <v>2.7096774193548385</v>
      </c>
      <c r="H8" s="50">
        <f>($B8 * 'Capacidad del equipo'!$G$8) / 'Capacidad del equipo'!$G$9</f>
        <v>3.096774193548387</v>
      </c>
      <c r="I8" s="44">
        <f t="shared" ref="I8:I12" si="0">C8 - B8</f>
        <v>3.5</v>
      </c>
      <c r="J8" s="43" t="str">
        <f t="shared" ref="J8:J12" si="1">IF(I8&gt;=0, "OK", "SOBRECARGA")</f>
        <v>OK</v>
      </c>
    </row>
    <row r="9" spans="1:10">
      <c r="A9" s="42" t="s">
        <v>94</v>
      </c>
      <c r="B9" s="43">
        <f>SUMIF(Coste!$E$8:$E$25, A9, Coste!$D$8:$D$25)</f>
        <v>12</v>
      </c>
      <c r="C9" s="43">
        <f>'Capacidad del equipo'!$G$9</f>
        <v>15.5</v>
      </c>
      <c r="D9" s="50">
        <f>($B9 * 'Capacidad del equipo'!$G$4) / 'Capacidad del equipo'!$G$9</f>
        <v>1.935483870967742</v>
      </c>
      <c r="E9" s="50">
        <f>($B9 * 'Capacidad del equipo'!$G$5) / 'Capacidad del equipo'!$G$9</f>
        <v>1.935483870967742</v>
      </c>
      <c r="F9" s="50">
        <f>($B9 * 'Capacidad del equipo'!$G$6) / 'Capacidad del equipo'!$G$9</f>
        <v>2.3225806451612905</v>
      </c>
      <c r="G9" s="50">
        <f>($B9 * 'Capacidad del equipo'!$G$7) / 'Capacidad del equipo'!$G$9</f>
        <v>2.7096774193548385</v>
      </c>
      <c r="H9" s="50">
        <f>($B9 * 'Capacidad del equipo'!$G$8) / 'Capacidad del equipo'!$G$9</f>
        <v>3.096774193548387</v>
      </c>
      <c r="I9" s="44">
        <f t="shared" si="0"/>
        <v>3.5</v>
      </c>
      <c r="J9" s="43" t="str">
        <f t="shared" si="1"/>
        <v>OK</v>
      </c>
    </row>
    <row r="10" spans="1:10">
      <c r="A10" s="42" t="s">
        <v>95</v>
      </c>
      <c r="B10" s="43">
        <f>SUMIF(Coste!$E$8:$E$25, A10, Coste!$D$8:$D$25)</f>
        <v>12</v>
      </c>
      <c r="C10" s="43">
        <f>'Capacidad del equipo'!$G$9</f>
        <v>15.5</v>
      </c>
      <c r="D10" s="50">
        <f>($B10 * 'Capacidad del equipo'!$G$4) / 'Capacidad del equipo'!$G$9</f>
        <v>1.935483870967742</v>
      </c>
      <c r="E10" s="50">
        <f>($B10 * 'Capacidad del equipo'!$G$5) / 'Capacidad del equipo'!$G$9</f>
        <v>1.935483870967742</v>
      </c>
      <c r="F10" s="50">
        <f>($B10 * 'Capacidad del equipo'!$G$6) / 'Capacidad del equipo'!$G$9</f>
        <v>2.3225806451612905</v>
      </c>
      <c r="G10" s="50">
        <f>($B10 * 'Capacidad del equipo'!$G$7) / 'Capacidad del equipo'!$G$9</f>
        <v>2.7096774193548385</v>
      </c>
      <c r="H10" s="50">
        <f>($B10 * 'Capacidad del equipo'!$G$8) / 'Capacidad del equipo'!$G$9</f>
        <v>3.096774193548387</v>
      </c>
      <c r="I10" s="44">
        <f t="shared" si="0"/>
        <v>3.5</v>
      </c>
      <c r="J10" s="43" t="str">
        <f t="shared" si="1"/>
        <v>OK</v>
      </c>
    </row>
    <row r="11" spans="1:10">
      <c r="A11" s="42" t="s">
        <v>96</v>
      </c>
      <c r="B11" s="43">
        <f>SUMIF(Coste!$E$8:$E$25, A11, Coste!$D$8:$D$25)</f>
        <v>12</v>
      </c>
      <c r="C11" s="43">
        <f>'Capacidad del equipo'!$G$9</f>
        <v>15.5</v>
      </c>
      <c r="D11" s="50">
        <f>($B11 * 'Capacidad del equipo'!$G$4) / 'Capacidad del equipo'!$G$9</f>
        <v>1.935483870967742</v>
      </c>
      <c r="E11" s="50">
        <f>($B11 * 'Capacidad del equipo'!$G$5) / 'Capacidad del equipo'!$G$9</f>
        <v>1.935483870967742</v>
      </c>
      <c r="F11" s="50">
        <f>($B11 * 'Capacidad del equipo'!$G$6) / 'Capacidad del equipo'!$G$9</f>
        <v>2.3225806451612905</v>
      </c>
      <c r="G11" s="50">
        <f>($B11 * 'Capacidad del equipo'!$G$7) / 'Capacidad del equipo'!$G$9</f>
        <v>2.7096774193548385</v>
      </c>
      <c r="H11" s="50">
        <f>($B11 * 'Capacidad del equipo'!$G$8) / 'Capacidad del equipo'!$G$9</f>
        <v>3.096774193548387</v>
      </c>
      <c r="I11" s="44">
        <f t="shared" si="0"/>
        <v>3.5</v>
      </c>
      <c r="J11" s="43" t="str">
        <f t="shared" si="1"/>
        <v>OK</v>
      </c>
    </row>
    <row r="12" spans="1:10">
      <c r="A12" s="42" t="s">
        <v>97</v>
      </c>
      <c r="B12" s="43">
        <f>SUMIF(Coste!$E$8:$E$25, A12, Coste!$D$8:$D$25)</f>
        <v>4.5</v>
      </c>
      <c r="C12" s="43">
        <f>'Capacidad del equipo'!$G$9</f>
        <v>15.5</v>
      </c>
      <c r="D12" s="50">
        <f>($B12 * 'Capacidad del equipo'!$G$4) / 'Capacidad del equipo'!$G$9</f>
        <v>0.72580645161290325</v>
      </c>
      <c r="E12" s="50">
        <f>($B12 * 'Capacidad del equipo'!$G$5) / 'Capacidad del equipo'!$G$9</f>
        <v>0.72580645161290325</v>
      </c>
      <c r="F12" s="50">
        <f>($B12 * 'Capacidad del equipo'!$G$6) / 'Capacidad del equipo'!$G$9</f>
        <v>0.87096774193548387</v>
      </c>
      <c r="G12" s="50">
        <f>($B12 * 'Capacidad del equipo'!$G$7) / 'Capacidad del equipo'!$G$9</f>
        <v>1.0161290322580645</v>
      </c>
      <c r="H12" s="50">
        <f>($B12 * 'Capacidad del equipo'!$G$8) / 'Capacidad del equipo'!$G$9</f>
        <v>1.1612903225806452</v>
      </c>
      <c r="I12" s="44">
        <f t="shared" si="0"/>
        <v>11</v>
      </c>
      <c r="J12" s="43" t="str">
        <f t="shared" si="1"/>
        <v>OK</v>
      </c>
    </row>
    <row r="13" spans="1:10">
      <c r="A13" s="13" t="s">
        <v>98</v>
      </c>
      <c r="B13" s="14">
        <v>64.5</v>
      </c>
      <c r="C13" s="14">
        <v>93</v>
      </c>
      <c r="D13" s="51">
        <f>SUM(D7:D12)</f>
        <v>10.403225806451614</v>
      </c>
      <c r="E13" s="51">
        <f>SUM(E7:E12)</f>
        <v>10.403225806451614</v>
      </c>
      <c r="F13" s="51">
        <f>SUM(F7:F12)</f>
        <v>12.483870967741936</v>
      </c>
      <c r="G13" s="51">
        <f>SUM(G7:G12)</f>
        <v>14.564516129032256</v>
      </c>
      <c r="H13" s="51">
        <f>SUM(H7:H12)</f>
        <v>16.64516129032258</v>
      </c>
      <c r="I13" s="14">
        <v>28.5</v>
      </c>
      <c r="J13" s="15" t="s">
        <v>99</v>
      </c>
    </row>
    <row r="14" spans="1:10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49" t="s">
        <v>100</v>
      </c>
      <c r="B15" s="49"/>
      <c r="C15" s="45">
        <v>24</v>
      </c>
      <c r="D15" s="8"/>
      <c r="E15" s="8"/>
      <c r="F15" s="8"/>
      <c r="G15" s="8"/>
      <c r="H15" s="8"/>
      <c r="I15" s="8"/>
      <c r="J15" s="8"/>
    </row>
    <row r="16" spans="1:10">
      <c r="A16" s="49" t="s">
        <v>101</v>
      </c>
      <c r="B16" s="49"/>
      <c r="C16" s="46">
        <v>28.5</v>
      </c>
      <c r="D16" s="8"/>
      <c r="E16" s="8"/>
      <c r="F16" s="8"/>
      <c r="G16" s="8"/>
      <c r="H16" s="8"/>
      <c r="I16" s="8"/>
      <c r="J16" s="8"/>
    </row>
  </sheetData>
  <mergeCells count="4">
    <mergeCell ref="A3:J3"/>
    <mergeCell ref="A4:J4"/>
    <mergeCell ref="A15:B15"/>
    <mergeCell ref="A16:B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FA812-64EA-49A2-BB34-3C6C35286AD1}">
  <dimension ref="B3:K51"/>
  <sheetViews>
    <sheetView topLeftCell="A24" workbookViewId="0">
      <selection activeCell="J4" sqref="J4"/>
    </sheetView>
  </sheetViews>
  <sheetFormatPr defaultRowHeight="15"/>
  <cols>
    <col min="2" max="2" width="29.42578125" customWidth="1"/>
    <col min="3" max="3" width="30.5703125" customWidth="1"/>
    <col min="4" max="4" width="33.28515625" customWidth="1"/>
    <col min="5" max="5" width="33.7109375" customWidth="1"/>
    <col min="6" max="6" width="30.5703125" customWidth="1"/>
  </cols>
  <sheetData>
    <row r="3" spans="2:7" ht="18">
      <c r="B3" s="54" t="s">
        <v>102</v>
      </c>
      <c r="C3" s="54"/>
      <c r="D3" s="54"/>
      <c r="E3" s="54"/>
      <c r="F3" s="54"/>
      <c r="G3" s="54"/>
    </row>
    <row r="4" spans="2:7">
      <c r="B4" s="55" t="s">
        <v>103</v>
      </c>
      <c r="C4" s="55"/>
      <c r="D4" s="55"/>
      <c r="E4" s="55"/>
      <c r="F4" s="55"/>
      <c r="G4" s="55"/>
    </row>
    <row r="5" spans="2:7">
      <c r="B5" s="8"/>
      <c r="C5" s="8"/>
      <c r="D5" s="8"/>
      <c r="E5" s="8"/>
      <c r="F5" s="8"/>
      <c r="G5" s="8"/>
    </row>
    <row r="6" spans="2:7">
      <c r="B6" s="16" t="s">
        <v>104</v>
      </c>
      <c r="C6" s="16"/>
      <c r="D6" s="8"/>
      <c r="E6" s="8"/>
      <c r="F6" s="8"/>
      <c r="G6" s="8"/>
    </row>
    <row r="7" spans="2:7" ht="43.5">
      <c r="B7" s="9" cm="1">
        <f t="array" aca="1" ref="B7" ca="1">SUMIF(Coste!$E$8:$E$25, Coste!E5A7, Coste!$D$8:$D$25)</f>
        <v>0</v>
      </c>
      <c r="C7" s="10" t="s">
        <v>105</v>
      </c>
      <c r="D7" s="10" t="s">
        <v>106</v>
      </c>
      <c r="E7" s="10" t="s">
        <v>87</v>
      </c>
      <c r="F7" s="10" t="s">
        <v>107</v>
      </c>
      <c r="G7" s="8"/>
    </row>
    <row r="8" spans="2:7">
      <c r="B8" s="42" t="str">
        <f xml:space="preserve"> 'Product Backlog'!B5</f>
        <v>US-001 </v>
      </c>
      <c r="C8" s="43" t="str">
        <f xml:space="preserve"> 'Product Backlog'!C5</f>
        <v>EP-001 </v>
      </c>
      <c r="D8" s="43">
        <f xml:space="preserve"> 'Product Backlog'!G5</f>
        <v>4.5</v>
      </c>
      <c r="E8" s="43" t="s">
        <v>92</v>
      </c>
      <c r="F8" s="47">
        <f>D8 * 'Capacidad del equipo'!$C$26</f>
        <v>148.64516129032256</v>
      </c>
      <c r="G8" s="8"/>
    </row>
    <row r="9" spans="2:7">
      <c r="B9" s="42" t="str">
        <f xml:space="preserve"> 'Product Backlog'!B6</f>
        <v>US-002 </v>
      </c>
      <c r="C9" s="43" t="str">
        <f xml:space="preserve"> 'Product Backlog'!C6</f>
        <v>EP-002 </v>
      </c>
      <c r="D9" s="43">
        <f xml:space="preserve"> 'Product Backlog'!G6</f>
        <v>7.5</v>
      </c>
      <c r="E9" s="43" t="s">
        <v>92</v>
      </c>
      <c r="F9" s="47">
        <f>D9 * 'Capacidad del equipo'!$C$26</f>
        <v>247.74193548387098</v>
      </c>
      <c r="G9" s="8"/>
    </row>
    <row r="10" spans="2:7">
      <c r="B10" s="42" t="str">
        <f xml:space="preserve"> 'Product Backlog'!B7</f>
        <v>US-003 </v>
      </c>
      <c r="C10" s="43" t="str">
        <f xml:space="preserve"> 'Product Backlog'!C7</f>
        <v>EP-004 </v>
      </c>
      <c r="D10" s="43">
        <f xml:space="preserve"> 'Product Backlog'!G7</f>
        <v>4.5</v>
      </c>
      <c r="E10" s="43" t="s">
        <v>93</v>
      </c>
      <c r="F10" s="47">
        <f>D10 * 'Capacidad del equipo'!$C$26</f>
        <v>148.64516129032256</v>
      </c>
      <c r="G10" s="8"/>
    </row>
    <row r="11" spans="2:7">
      <c r="B11" s="42" t="str">
        <f xml:space="preserve"> 'Product Backlog'!B8</f>
        <v>US-004 </v>
      </c>
      <c r="C11" s="43" t="str">
        <f xml:space="preserve"> 'Product Backlog'!C8</f>
        <v>EP-003 </v>
      </c>
      <c r="D11" s="43">
        <f xml:space="preserve"> 'Product Backlog'!G8</f>
        <v>4.5</v>
      </c>
      <c r="E11" s="43" t="s">
        <v>93</v>
      </c>
      <c r="F11" s="47">
        <f>D11 * 'Capacidad del equipo'!$C$26</f>
        <v>148.64516129032256</v>
      </c>
      <c r="G11" s="8"/>
    </row>
    <row r="12" spans="2:7">
      <c r="B12" s="42" t="str">
        <f xml:space="preserve"> 'Product Backlog'!B9</f>
        <v>US-005 </v>
      </c>
      <c r="C12" s="43" t="str">
        <f xml:space="preserve"> 'Product Backlog'!C9</f>
        <v>EP-003 </v>
      </c>
      <c r="D12" s="43">
        <f xml:space="preserve"> 'Product Backlog'!G9</f>
        <v>3</v>
      </c>
      <c r="E12" s="43" t="s">
        <v>93</v>
      </c>
      <c r="F12" s="47">
        <f>D12 * 'Capacidad del equipo'!$C$26</f>
        <v>99.096774193548384</v>
      </c>
      <c r="G12" s="8"/>
    </row>
    <row r="13" spans="2:7">
      <c r="B13" s="42" t="str">
        <f xml:space="preserve"> 'Product Backlog'!B10</f>
        <v>US-006 </v>
      </c>
      <c r="C13" s="43" t="str">
        <f xml:space="preserve"> 'Product Backlog'!C10</f>
        <v>EP-003 </v>
      </c>
      <c r="D13" s="43">
        <f xml:space="preserve"> 'Product Backlog'!G10</f>
        <v>4.5</v>
      </c>
      <c r="E13" s="43" t="s">
        <v>94</v>
      </c>
      <c r="F13" s="47">
        <f>D13 * 'Capacidad del equipo'!$C$26</f>
        <v>148.64516129032256</v>
      </c>
      <c r="G13" s="8"/>
    </row>
    <row r="14" spans="2:7">
      <c r="B14" s="42" t="str">
        <f xml:space="preserve"> 'Product Backlog'!B11</f>
        <v>US-007 </v>
      </c>
      <c r="C14" s="43" t="str">
        <f xml:space="preserve"> 'Product Backlog'!C11</f>
        <v>EP-003 </v>
      </c>
      <c r="D14" s="43">
        <f xml:space="preserve"> 'Product Backlog'!G11</f>
        <v>7.5</v>
      </c>
      <c r="E14" s="43" t="s">
        <v>94</v>
      </c>
      <c r="F14" s="47">
        <f>D14 * 'Capacidad del equipo'!$C$26</f>
        <v>247.74193548387098</v>
      </c>
      <c r="G14" s="8"/>
    </row>
    <row r="15" spans="2:7">
      <c r="B15" s="42" t="str">
        <f xml:space="preserve"> 'Product Backlog'!B12</f>
        <v>US-008 </v>
      </c>
      <c r="C15" s="43" t="str">
        <f xml:space="preserve"> 'Product Backlog'!C12</f>
        <v>EP-003 </v>
      </c>
      <c r="D15" s="43">
        <f xml:space="preserve"> 'Product Backlog'!G12</f>
        <v>4.5</v>
      </c>
      <c r="E15" s="43" t="s">
        <v>95</v>
      </c>
      <c r="F15" s="47">
        <f>D15 * 'Capacidad del equipo'!$C$26</f>
        <v>148.64516129032256</v>
      </c>
      <c r="G15" s="8"/>
    </row>
    <row r="16" spans="2:7">
      <c r="B16" s="42" t="str">
        <f xml:space="preserve"> 'Product Backlog'!B13</f>
        <v>US-009 </v>
      </c>
      <c r="C16" s="43" t="str">
        <f xml:space="preserve"> 'Product Backlog'!C13</f>
        <v>EP-002 </v>
      </c>
      <c r="D16" s="43">
        <f xml:space="preserve"> 'Product Backlog'!G13</f>
        <v>4.5</v>
      </c>
      <c r="E16" s="43" t="s">
        <v>95</v>
      </c>
      <c r="F16" s="47">
        <f>D16 * 'Capacidad del equipo'!$C$26</f>
        <v>148.64516129032256</v>
      </c>
      <c r="G16" s="8"/>
    </row>
    <row r="17" spans="2:11">
      <c r="B17" s="42" t="str">
        <f xml:space="preserve"> 'Product Backlog'!B14</f>
        <v>US-010 </v>
      </c>
      <c r="C17" s="43" t="str">
        <f xml:space="preserve"> 'Product Backlog'!C14</f>
        <v>EP-003 </v>
      </c>
      <c r="D17" s="43">
        <f xml:space="preserve"> 'Product Backlog'!G14</f>
        <v>3</v>
      </c>
      <c r="E17" s="43" t="s">
        <v>95</v>
      </c>
      <c r="F17" s="47">
        <f>D17 * 'Capacidad del equipo'!$C$26</f>
        <v>99.096774193548384</v>
      </c>
      <c r="G17" s="8"/>
    </row>
    <row r="18" spans="2:11">
      <c r="B18" s="42" t="str">
        <f xml:space="preserve"> 'Product Backlog'!B15</f>
        <v>US-011 </v>
      </c>
      <c r="C18" s="43" t="str">
        <f xml:space="preserve"> 'Product Backlog'!C15</f>
        <v>EP-001 </v>
      </c>
      <c r="D18" s="43">
        <f xml:space="preserve"> 'Product Backlog'!G15</f>
        <v>3</v>
      </c>
      <c r="E18" s="43" t="s">
        <v>96</v>
      </c>
      <c r="F18" s="47">
        <f>D18 * 'Capacidad del equipo'!$C$26</f>
        <v>99.096774193548384</v>
      </c>
      <c r="G18" s="8"/>
    </row>
    <row r="19" spans="2:11">
      <c r="B19" s="42" t="str">
        <f xml:space="preserve"> 'Product Backlog'!B16</f>
        <v>US-012 </v>
      </c>
      <c r="C19" s="43" t="str">
        <f xml:space="preserve"> 'Product Backlog'!C16</f>
        <v>EP-001 </v>
      </c>
      <c r="D19" s="43">
        <f xml:space="preserve"> 'Product Backlog'!G16</f>
        <v>3</v>
      </c>
      <c r="E19" s="43" t="s">
        <v>96</v>
      </c>
      <c r="F19" s="47">
        <f>D19 * 'Capacidad del equipo'!$C$26</f>
        <v>99.096774193548384</v>
      </c>
      <c r="G19" s="8"/>
    </row>
    <row r="20" spans="2:11">
      <c r="B20" s="42" t="str">
        <f xml:space="preserve"> 'Product Backlog'!B17</f>
        <v>US-013 </v>
      </c>
      <c r="C20" s="43" t="str">
        <f xml:space="preserve"> 'Product Backlog'!C17</f>
        <v>EP-004 </v>
      </c>
      <c r="D20" s="43">
        <f xml:space="preserve"> 'Product Backlog'!G17</f>
        <v>6</v>
      </c>
      <c r="E20" s="43" t="s">
        <v>96</v>
      </c>
      <c r="F20" s="47">
        <f>D20 * 'Capacidad del equipo'!$C$26</f>
        <v>198.19354838709677</v>
      </c>
      <c r="G20" s="8"/>
      <c r="K20" t="s">
        <v>108</v>
      </c>
    </row>
    <row r="21" spans="2:11">
      <c r="B21" s="42" t="str">
        <f xml:space="preserve"> 'Product Backlog'!B18</f>
        <v>US-014 </v>
      </c>
      <c r="C21" s="43" t="str">
        <f xml:space="preserve"> 'Product Backlog'!C18</f>
        <v>EP-002 </v>
      </c>
      <c r="D21" s="43">
        <f xml:space="preserve"> 'Product Backlog'!G18</f>
        <v>4.5</v>
      </c>
      <c r="E21" s="43" t="s">
        <v>97</v>
      </c>
      <c r="F21" s="47">
        <f>D21 * 'Capacidad del equipo'!$C$26</f>
        <v>148.64516129032256</v>
      </c>
      <c r="G21" s="8"/>
    </row>
    <row r="22" spans="2:11">
      <c r="B22" s="42" t="str">
        <f xml:space="preserve"> 'Product Backlog'!B19</f>
        <v>US-015 </v>
      </c>
      <c r="C22" s="43" t="str">
        <f xml:space="preserve"> 'Product Backlog'!C19</f>
        <v>EP-003 </v>
      </c>
      <c r="D22" s="43">
        <f xml:space="preserve"> 'Product Backlog'!G19</f>
        <v>3</v>
      </c>
      <c r="E22" s="43" t="s">
        <v>109</v>
      </c>
      <c r="F22" s="47">
        <f>D22 * 'Capacidad del equipo'!$C$26</f>
        <v>99.096774193548384</v>
      </c>
      <c r="G22" s="8"/>
    </row>
    <row r="23" spans="2:11">
      <c r="B23" s="42" t="str">
        <f xml:space="preserve"> 'Product Backlog'!B20</f>
        <v>US-016 </v>
      </c>
      <c r="C23" s="43" t="str">
        <f xml:space="preserve"> 'Product Backlog'!C20</f>
        <v>EP-004 </v>
      </c>
      <c r="D23" s="43">
        <f xml:space="preserve"> 'Product Backlog'!G20</f>
        <v>7.5</v>
      </c>
      <c r="E23" s="43" t="s">
        <v>109</v>
      </c>
      <c r="F23" s="47">
        <f>D23 * 'Capacidad del equipo'!$C$26</f>
        <v>247.74193548387098</v>
      </c>
      <c r="G23" s="8"/>
    </row>
    <row r="24" spans="2:11">
      <c r="B24" s="42" t="str">
        <f xml:space="preserve"> 'Product Backlog'!B21</f>
        <v>US-017 </v>
      </c>
      <c r="C24" s="43" t="str">
        <f xml:space="preserve"> 'Product Backlog'!C21</f>
        <v>EP-001 </v>
      </c>
      <c r="D24" s="43">
        <f xml:space="preserve"> 'Product Backlog'!G21</f>
        <v>7.5</v>
      </c>
      <c r="E24" s="43" t="s">
        <v>109</v>
      </c>
      <c r="F24" s="47">
        <f>D24 * 'Capacidad del equipo'!$C$26</f>
        <v>247.74193548387098</v>
      </c>
      <c r="G24" s="8"/>
    </row>
    <row r="25" spans="2:11">
      <c r="B25" s="42" t="str">
        <f xml:space="preserve"> 'Product Backlog'!B22</f>
        <v>US-018 </v>
      </c>
      <c r="C25" s="43" t="str">
        <f xml:space="preserve"> 'Product Backlog'!C22</f>
        <v>EP-004 </v>
      </c>
      <c r="D25" s="43">
        <f xml:space="preserve"> 'Product Backlog'!G22</f>
        <v>6</v>
      </c>
      <c r="E25" s="43" t="s">
        <v>109</v>
      </c>
      <c r="F25" s="47">
        <f>D25 * 'Capacidad del equipo'!$C$26</f>
        <v>198.19354838709677</v>
      </c>
      <c r="G25" s="8"/>
    </row>
    <row r="26" spans="2:11">
      <c r="B26" s="8"/>
      <c r="C26" s="8"/>
      <c r="D26" s="8"/>
      <c r="E26" s="16" t="s">
        <v>110</v>
      </c>
      <c r="F26" s="19">
        <f>SUM(F8:F25)</f>
        <v>2923.3548387096771</v>
      </c>
      <c r="G26" s="8"/>
    </row>
    <row r="27" spans="2:11">
      <c r="B27" s="8"/>
      <c r="C27" s="8"/>
      <c r="D27" s="8"/>
      <c r="E27" s="16" t="s">
        <v>111</v>
      </c>
      <c r="F27" s="20">
        <f>SUMIFS(F8:F25, E8:E25, "&lt;&gt;Sin planificar")</f>
        <v>2130.5806451612898</v>
      </c>
      <c r="G27" s="8"/>
    </row>
    <row r="28" spans="2:11">
      <c r="B28" s="8"/>
      <c r="C28" s="8"/>
      <c r="D28" s="8"/>
      <c r="E28" s="8"/>
      <c r="F28" s="8"/>
      <c r="G28" s="8"/>
    </row>
    <row r="29" spans="2:11">
      <c r="B29" s="8"/>
      <c r="C29" s="8"/>
      <c r="D29" s="8"/>
      <c r="E29" s="8"/>
      <c r="F29" s="8"/>
      <c r="G29" s="8"/>
    </row>
    <row r="30" spans="2:11">
      <c r="B30" s="16" t="s">
        <v>112</v>
      </c>
      <c r="C30" s="16"/>
      <c r="D30" s="8"/>
      <c r="E30" s="8"/>
      <c r="F30" s="8"/>
      <c r="G30" s="8"/>
    </row>
    <row r="31" spans="2:11" ht="57.75">
      <c r="B31" s="9" t="s">
        <v>18</v>
      </c>
      <c r="C31" s="10" t="s">
        <v>113</v>
      </c>
      <c r="D31" s="10" t="s">
        <v>19</v>
      </c>
      <c r="E31" s="10" t="s">
        <v>107</v>
      </c>
      <c r="F31" s="8"/>
      <c r="G31" s="8"/>
    </row>
    <row r="32" spans="2:11">
      <c r="B32" s="11" t="s">
        <v>20</v>
      </c>
      <c r="C32" s="12">
        <f>'Carga y Capacidad'!D13</f>
        <v>10.403225806451614</v>
      </c>
      <c r="D32" s="21">
        <f>'Capacidad del equipo'!C20</f>
        <v>32</v>
      </c>
      <c r="E32" s="18">
        <f>C32 * D32</f>
        <v>332.90322580645164</v>
      </c>
      <c r="F32" s="8"/>
      <c r="G32" s="8"/>
    </row>
    <row r="33" spans="2:7">
      <c r="B33" s="11" t="s">
        <v>21</v>
      </c>
      <c r="C33" s="12">
        <f>'Carga y Capacidad'!E13</f>
        <v>10.403225806451614</v>
      </c>
      <c r="D33" s="21">
        <f>'Capacidad del equipo'!C21</f>
        <v>30</v>
      </c>
      <c r="E33" s="18">
        <f t="shared" ref="E33:E36" si="0">C33 * D33</f>
        <v>312.09677419354841</v>
      </c>
      <c r="F33" s="8"/>
      <c r="G33" s="8"/>
    </row>
    <row r="34" spans="2:7">
      <c r="B34" s="11" t="s">
        <v>22</v>
      </c>
      <c r="C34" s="12">
        <f>'Carga y Capacidad'!F13</f>
        <v>12.483870967741936</v>
      </c>
      <c r="D34" s="21">
        <f>'Capacidad del equipo'!C22</f>
        <v>42</v>
      </c>
      <c r="E34" s="18">
        <f t="shared" si="0"/>
        <v>524.32258064516134</v>
      </c>
      <c r="F34" s="8"/>
      <c r="G34" s="8"/>
    </row>
    <row r="35" spans="2:7">
      <c r="B35" s="11" t="s">
        <v>23</v>
      </c>
      <c r="C35" s="12">
        <f>'Carga y Capacidad'!G13</f>
        <v>14.564516129032256</v>
      </c>
      <c r="D35" s="21">
        <f>'Capacidad del equipo'!C23</f>
        <v>34</v>
      </c>
      <c r="E35" s="18">
        <f t="shared" si="0"/>
        <v>495.19354838709671</v>
      </c>
      <c r="F35" s="8"/>
      <c r="G35" s="8"/>
    </row>
    <row r="36" spans="2:7">
      <c r="B36" s="11" t="s">
        <v>24</v>
      </c>
      <c r="C36" s="12">
        <f>'Carga y Capacidad'!H13</f>
        <v>16.64516129032258</v>
      </c>
      <c r="D36" s="21">
        <f>'Capacidad del equipo'!C24</f>
        <v>28</v>
      </c>
      <c r="E36" s="18">
        <f t="shared" si="0"/>
        <v>466.06451612903226</v>
      </c>
      <c r="F36" s="8"/>
      <c r="G36" s="8"/>
    </row>
    <row r="37" spans="2:7">
      <c r="B37" s="13" t="s">
        <v>114</v>
      </c>
      <c r="C37" s="14">
        <f>SUM(C32:C36)</f>
        <v>64.5</v>
      </c>
      <c r="D37" s="48">
        <f>SUM(D32:D36)</f>
        <v>166</v>
      </c>
      <c r="E37" s="22">
        <f>SUM(E32:E36)</f>
        <v>2130.5806451612902</v>
      </c>
      <c r="F37" s="8"/>
      <c r="G37" s="8"/>
    </row>
    <row r="38" spans="2:7">
      <c r="B38" s="8"/>
      <c r="C38" s="8"/>
      <c r="D38" s="8"/>
      <c r="E38" s="8"/>
      <c r="F38" s="8"/>
      <c r="G38" s="8"/>
    </row>
    <row r="39" spans="2:7">
      <c r="B39" s="7" t="s">
        <v>115</v>
      </c>
      <c r="C39" s="7"/>
      <c r="D39" s="8"/>
      <c r="E39" s="23"/>
      <c r="F39" s="8"/>
      <c r="G39" s="8"/>
    </row>
    <row r="40" spans="2:7">
      <c r="B40" s="8"/>
      <c r="C40" s="8"/>
      <c r="D40" s="8"/>
      <c r="E40" s="8"/>
      <c r="F40" s="8"/>
      <c r="G40" s="8"/>
    </row>
    <row r="41" spans="2:7">
      <c r="B41" s="8"/>
      <c r="C41" s="8"/>
      <c r="D41" s="8"/>
      <c r="E41" s="8"/>
      <c r="F41" s="8"/>
      <c r="G41" s="8"/>
    </row>
    <row r="42" spans="2:7">
      <c r="B42" s="16" t="s">
        <v>116</v>
      </c>
      <c r="C42" s="16"/>
      <c r="D42" s="8"/>
      <c r="E42" s="8"/>
      <c r="F42" s="8"/>
      <c r="G42" s="8"/>
    </row>
    <row r="43" spans="2:7" ht="28.5">
      <c r="B43" s="9" t="s">
        <v>87</v>
      </c>
      <c r="C43" s="10" t="s">
        <v>117</v>
      </c>
      <c r="D43" s="10" t="s">
        <v>107</v>
      </c>
      <c r="E43" s="8"/>
      <c r="F43" s="8"/>
      <c r="G43" s="8"/>
    </row>
    <row r="44" spans="2:7">
      <c r="B44" s="11" t="s">
        <v>92</v>
      </c>
      <c r="C44" s="12">
        <f>SUMIFS($D$8:$D$25, $E$8:$E$25, B44)</f>
        <v>12</v>
      </c>
      <c r="D44" s="18">
        <f>SUMIFS($F$8:$F$25, $E$8:$E$25, B44)</f>
        <v>396.38709677419354</v>
      </c>
      <c r="E44" s="8"/>
      <c r="F44" s="8"/>
      <c r="G44" s="8"/>
    </row>
    <row r="45" spans="2:7">
      <c r="B45" s="11" t="s">
        <v>93</v>
      </c>
      <c r="C45" s="12">
        <f t="shared" ref="C45:C49" si="1">SUMIFS($D$8:$D$25, $E$8:$E$25, B45)</f>
        <v>12</v>
      </c>
      <c r="D45" s="18">
        <f t="shared" ref="D45:D49" si="2">SUMIFS($F$8:$F$25, $E$8:$E$25, B45)</f>
        <v>396.38709677419354</v>
      </c>
      <c r="E45" s="8"/>
      <c r="F45" s="8"/>
      <c r="G45" s="8"/>
    </row>
    <row r="46" spans="2:7">
      <c r="B46" s="11" t="s">
        <v>94</v>
      </c>
      <c r="C46" s="12">
        <f t="shared" si="1"/>
        <v>12</v>
      </c>
      <c r="D46" s="18">
        <f t="shared" si="2"/>
        <v>396.38709677419354</v>
      </c>
      <c r="E46" s="8"/>
      <c r="F46" s="8"/>
      <c r="G46" s="8"/>
    </row>
    <row r="47" spans="2:7">
      <c r="B47" s="11" t="s">
        <v>95</v>
      </c>
      <c r="C47" s="12">
        <f t="shared" si="1"/>
        <v>12</v>
      </c>
      <c r="D47" s="18">
        <f t="shared" si="2"/>
        <v>396.38709677419354</v>
      </c>
      <c r="E47" s="8"/>
      <c r="F47" s="8"/>
      <c r="G47" s="8"/>
    </row>
    <row r="48" spans="2:7">
      <c r="B48" s="11" t="s">
        <v>96</v>
      </c>
      <c r="C48" s="12">
        <f t="shared" si="1"/>
        <v>12</v>
      </c>
      <c r="D48" s="18">
        <f t="shared" si="2"/>
        <v>396.38709677419354</v>
      </c>
      <c r="E48" s="8"/>
      <c r="F48" s="8"/>
      <c r="G48" s="8"/>
    </row>
    <row r="49" spans="2:7">
      <c r="B49" s="11" t="s">
        <v>97</v>
      </c>
      <c r="C49" s="12">
        <f t="shared" si="1"/>
        <v>4.5</v>
      </c>
      <c r="D49" s="18">
        <f t="shared" si="2"/>
        <v>148.64516129032256</v>
      </c>
      <c r="E49" s="8"/>
      <c r="F49" s="8"/>
      <c r="G49" s="8"/>
    </row>
    <row r="50" spans="2:7">
      <c r="B50" s="13" t="s">
        <v>98</v>
      </c>
      <c r="C50" s="14">
        <f>SUM(C44:C49)</f>
        <v>64.5</v>
      </c>
      <c r="D50" s="22">
        <f>SUM(D44:D49)</f>
        <v>2130.5806451612902</v>
      </c>
      <c r="E50" s="8"/>
      <c r="F50" s="8"/>
      <c r="G50" s="8"/>
    </row>
    <row r="51" spans="2:7">
      <c r="B51" s="8"/>
      <c r="C51" s="8"/>
      <c r="D51" s="8"/>
      <c r="E51" s="8"/>
      <c r="F51" s="8"/>
      <c r="G51" s="8"/>
    </row>
  </sheetData>
  <mergeCells count="2">
    <mergeCell ref="B3:G3"/>
    <mergeCell ref="B4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410DC-A0C3-4C39-865B-E8ECBBC7C465}">
  <dimension ref="B4:F20"/>
  <sheetViews>
    <sheetView workbookViewId="0">
      <selection activeCell="R30" sqref="R30"/>
    </sheetView>
  </sheetViews>
  <sheetFormatPr defaultRowHeight="15"/>
  <cols>
    <col min="2" max="2" width="48.140625" customWidth="1"/>
    <col min="3" max="3" width="25.85546875" customWidth="1"/>
    <col min="4" max="4" width="9.28515625" customWidth="1"/>
  </cols>
  <sheetData>
    <row r="4" spans="2:5" ht="18">
      <c r="B4" s="54" t="s">
        <v>118</v>
      </c>
      <c r="C4" s="54"/>
      <c r="D4" s="54"/>
      <c r="E4" s="8"/>
    </row>
    <row r="5" spans="2:5">
      <c r="B5" s="8"/>
      <c r="C5" s="8"/>
      <c r="D5" s="8"/>
      <c r="E5" s="8"/>
    </row>
    <row r="6" spans="2:5">
      <c r="B6" s="24" t="s">
        <v>119</v>
      </c>
      <c r="C6" s="25">
        <f>'Capacidad del equipo'!G9</f>
        <v>15.5</v>
      </c>
      <c r="D6" s="8"/>
      <c r="E6" s="8"/>
    </row>
    <row r="7" spans="2:5">
      <c r="B7" s="11" t="s">
        <v>120</v>
      </c>
      <c r="C7" s="26">
        <v>6</v>
      </c>
      <c r="D7" s="8"/>
      <c r="E7" s="8"/>
    </row>
    <row r="8" spans="2:5">
      <c r="B8" s="11" t="s">
        <v>121</v>
      </c>
      <c r="C8" s="26">
        <f>C6 * C7</f>
        <v>93</v>
      </c>
      <c r="D8" s="8"/>
      <c r="E8" s="8"/>
    </row>
    <row r="9" spans="2:5">
      <c r="B9" s="11" t="s">
        <v>122</v>
      </c>
      <c r="C9" s="26">
        <f>SUMIF('Product Backlog'!F:F, "*Must have*", 'Product Backlog'!G:G) + SUMIF('Product Backlog'!F:F, "*Should have*", 'Product Backlog'!G:G)</f>
        <v>48</v>
      </c>
      <c r="D9" s="8"/>
      <c r="E9" s="8"/>
    </row>
    <row r="10" spans="2:5">
      <c r="B10" s="11" t="s">
        <v>123</v>
      </c>
      <c r="C10" s="26">
        <f>SUMIFS(Coste!$D$8:$D$25, Coste!$E$8:$E$25, "&lt;&gt;Sin planificar")</f>
        <v>64.5</v>
      </c>
      <c r="D10" s="8"/>
      <c r="E10" s="8"/>
    </row>
    <row r="11" spans="2:5">
      <c r="B11" s="11" t="s">
        <v>124</v>
      </c>
      <c r="C11" s="26">
        <f>SUMIF(Coste!E:E, "Sin planificar", Coste!D:D)</f>
        <v>24</v>
      </c>
      <c r="D11" s="8"/>
      <c r="E11" s="8"/>
    </row>
    <row r="12" spans="2:5">
      <c r="B12" s="11" t="s">
        <v>125</v>
      </c>
      <c r="C12" s="27">
        <f>C8 - C10</f>
        <v>28.5</v>
      </c>
      <c r="D12" s="8"/>
      <c r="E12" s="8"/>
    </row>
    <row r="13" spans="2:5">
      <c r="B13" s="11" t="s">
        <v>126</v>
      </c>
      <c r="C13" s="28">
        <f>C10 / C8</f>
        <v>0.69354838709677424</v>
      </c>
      <c r="D13" s="8"/>
      <c r="E13" s="8"/>
    </row>
    <row r="14" spans="2:5">
      <c r="B14" s="11" t="s">
        <v>127</v>
      </c>
      <c r="C14" s="52">
        <f>C9 / C6</f>
        <v>3.096774193548387</v>
      </c>
      <c r="D14" s="8"/>
      <c r="E14" s="8"/>
    </row>
    <row r="15" spans="2:5">
      <c r="B15" s="11" t="s">
        <v>128</v>
      </c>
      <c r="C15" s="29">
        <f>Coste!F27</f>
        <v>2130.5806451612898</v>
      </c>
      <c r="D15" s="8"/>
      <c r="E15" s="8"/>
    </row>
    <row r="16" spans="2:5">
      <c r="B16" s="8"/>
      <c r="C16" s="8"/>
      <c r="D16" s="8"/>
      <c r="E16" s="8"/>
    </row>
    <row r="17" spans="2:6">
      <c r="B17" s="8"/>
      <c r="C17" s="8"/>
      <c r="D17" s="8"/>
      <c r="E17" s="8"/>
    </row>
    <row r="18" spans="2:6">
      <c r="B18" s="16" t="s">
        <v>129</v>
      </c>
      <c r="C18" s="8"/>
      <c r="D18" s="8"/>
      <c r="E18" s="8"/>
    </row>
    <row r="19" spans="2:6" ht="77.25" customHeight="1">
      <c r="B19" s="31" t="s">
        <v>130</v>
      </c>
      <c r="C19" s="30"/>
      <c r="D19" s="30"/>
      <c r="E19" s="8"/>
      <c r="F19" s="8"/>
    </row>
    <row r="20" spans="2:6">
      <c r="B20" s="8"/>
      <c r="C20" s="8"/>
      <c r="D20" s="8"/>
      <c r="E20" s="8"/>
    </row>
  </sheetData>
  <mergeCells count="1">
    <mergeCell ref="B4:D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Elena Cancho González</cp:lastModifiedBy>
  <cp:revision/>
  <dcterms:created xsi:type="dcterms:W3CDTF">2026-09-30T18:13:25Z</dcterms:created>
  <dcterms:modified xsi:type="dcterms:W3CDTF">2026-10-14T07:52:56Z</dcterms:modified>
  <cp:category/>
  <cp:contentStatus/>
</cp:coreProperties>
</file>